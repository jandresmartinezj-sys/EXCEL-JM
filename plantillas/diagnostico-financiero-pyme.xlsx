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iagnostico" sheetId="2" state="visible" r:id="rId2"/>
    <sheet name="Datos" sheetId="3" state="visible" r:id="rId3"/>
    <sheet name="Parametros" sheetId="4" state="visible" r:id="rId4"/>
  </sheets>
  <definedNames>
    <definedName name="_xlnm.Print_Area" localSheetId="1">'Diagnostico'!$A$1:$F$36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0.0%"/>
    <numFmt numFmtId="168" formatCode="0.0"/>
  </numFmts>
  <fonts count="12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sz val="13"/>
    </font>
    <font>
      <color rgb="000000FF"/>
    </font>
    <font>
      <b val="1"/>
      <color rgb="00FFFFFF"/>
    </font>
    <font>
      <i val="1"/>
    </font>
    <font>
      <b val="1"/>
      <color rgb="001F3864"/>
      <sz val="16"/>
    </font>
    <font>
      <b val="1"/>
    </font>
    <font>
      <b val="1"/>
      <sz val="12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167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9" fontId="0" fillId="0" borderId="1" pivotButton="0" quotePrefix="0" xfId="0"/>
    <xf numFmtId="9" fontId="1" fillId="0" borderId="0" pivotButton="0" quotePrefix="0" xfId="0"/>
    <xf numFmtId="0" fontId="10" fillId="0" borderId="0" pivotButton="0" quotePrefix="0" xfId="0"/>
    <xf numFmtId="0" fontId="0" fillId="3" borderId="0" applyAlignment="1" pivotButton="0" quotePrefix="0" xfId="0">
      <alignment vertical="top" wrapText="1"/>
    </xf>
    <xf numFmtId="0" fontId="1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7" fontId="5" fillId="0" borderId="1" pivotButton="0" quotePrefix="0" xfId="0"/>
    <xf numFmtId="2" fontId="5" fillId="0" borderId="1" pivotButton="0" quotePrefix="0" xfId="0"/>
    <xf numFmtId="1" fontId="5" fillId="0" borderId="1" pivotButton="0" quotePrefix="0" xfId="0"/>
    <xf numFmtId="168" fontId="5" fillId="0" borderId="1" pivotButton="0" quotePrefix="0" xfId="0"/>
    <xf numFmtId="9" fontId="5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DIAGNÓSTICO FINANCIERO PYME</t>
        </is>
      </c>
    </row>
    <row r="2">
      <c r="A2" s="2" t="inlineStr"/>
    </row>
    <row r="3">
      <c r="A3" s="2" t="inlineStr">
        <is>
          <t>1. Llena la hoja 'Datos' (celdas en azul) con los estados financieros del último año o de los últimos 12 meses.</t>
        </is>
      </c>
    </row>
    <row r="4">
      <c r="A4" s="2" t="inlineStr">
        <is>
          <t>2. Responde el chequeo tributario (Sí / No / N/A).</t>
        </is>
      </c>
    </row>
    <row r="5">
      <c r="A5" s="2" t="inlineStr">
        <is>
          <t>3. La hoja 'Diagnostico' se genera sola: indicadores, semáforo, puntaje y acciones recomendadas. Está lista para imprimir o guardar como PDF en 1 página.</t>
        </is>
      </c>
    </row>
    <row r="6">
      <c r="A6" s="2" t="inlineStr">
        <is>
          <t>4. En 'Parametros' puedes ajustar los rangos verde/rojo según el sector del cliente.</t>
        </is>
      </c>
    </row>
    <row r="7">
      <c r="A7" s="2" t="inlineStr"/>
    </row>
    <row r="8">
      <c r="A8" s="3" t="inlineStr">
        <is>
          <t>IMPORTANTE: los rangos son referencias generales, no estándares sectoriales. Ajústalos al sector y al tamaño del cliente.</t>
        </is>
      </c>
    </row>
    <row r="9">
      <c r="A9" s="2" t="inlineStr">
        <is>
          <t>Herramienta de apoyo; no reemplaza el juicio profesional ni una revisión completa de la información.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1" customWidth="1" min="4" max="4"/>
    <col width="12" customWidth="1" min="5" max="5"/>
    <col width="58" customWidth="1" min="6" max="6"/>
  </cols>
  <sheetData>
    <row r="1">
      <c r="A1" s="4" t="inlineStr">
        <is>
          <t>DIAGNÓSTICO FINANCIERO</t>
        </is>
      </c>
    </row>
    <row r="2">
      <c r="A2">
        <f>"Empresa: "&amp;Datos!B2&amp;"   ·   NIT: "&amp;Datos!B3&amp;"   ·   Sector: "&amp;Datos!B4</f>
        <v/>
      </c>
    </row>
    <row r="3">
      <c r="A3">
        <f>"Periodo: "&amp;Datos!B6&amp;"   ·   Régimen: "&amp;Datos!B5&amp;"   ·   Fecha: "&amp;TEXT(Datos!B7,"dd/mm/yyyy")</f>
        <v/>
      </c>
    </row>
    <row r="5">
      <c r="A5" s="5" t="inlineStr">
        <is>
          <t>CIFRAS CLAVE</t>
        </is>
      </c>
    </row>
    <row r="6">
      <c r="A6" s="6" t="inlineStr">
        <is>
          <t>Ventas</t>
        </is>
      </c>
      <c r="B6" s="7">
        <f>Datos!B11</f>
        <v/>
      </c>
    </row>
    <row r="7">
      <c r="A7" s="6" t="inlineStr">
        <is>
          <t>Utilidad bruta</t>
        </is>
      </c>
      <c r="B7" s="7">
        <f>Datos!B11-Datos!B12</f>
        <v/>
      </c>
    </row>
    <row r="8">
      <c r="A8" s="6" t="inlineStr">
        <is>
          <t>Utilidad operacional (EBIT)</t>
        </is>
      </c>
      <c r="B8" s="7">
        <f>Datos!B11-Datos!B12-Datos!B13-Datos!B14</f>
        <v/>
      </c>
    </row>
    <row r="9">
      <c r="A9" s="6" t="inlineStr">
        <is>
          <t>Utilidad neta</t>
        </is>
      </c>
      <c r="B9" s="7">
        <f>Datos!B11-Datos!B12-Datos!B13-Datos!B14-Datos!B15+Datos!B16-Datos!B17</f>
        <v/>
      </c>
    </row>
    <row r="10">
      <c r="A10" s="6" t="inlineStr">
        <is>
          <t>Activo total</t>
        </is>
      </c>
      <c r="B10" s="7">
        <f>SUM(Datos!B20:B24)</f>
        <v/>
      </c>
    </row>
    <row r="11">
      <c r="A11" s="6" t="inlineStr">
        <is>
          <t>Pasivo total</t>
        </is>
      </c>
      <c r="B11" s="7">
        <f>SUM(Datos!B25:B29)</f>
        <v/>
      </c>
    </row>
    <row r="12">
      <c r="A12" s="6" t="inlineStr">
        <is>
          <t>Patrimonio</t>
        </is>
      </c>
      <c r="B12" s="7">
        <f>B10-B11</f>
        <v/>
      </c>
    </row>
    <row r="14">
      <c r="A14" s="8" t="inlineStr">
        <is>
          <t>Indicador</t>
        </is>
      </c>
      <c r="B14" s="8" t="inlineStr">
        <is>
          <t>Resultado</t>
        </is>
      </c>
      <c r="C14" s="8" t="inlineStr">
        <is>
          <t>Verde si</t>
        </is>
      </c>
      <c r="D14" s="8" t="inlineStr">
        <is>
          <t>Rojo si</t>
        </is>
      </c>
      <c r="E14" s="8" t="inlineStr">
        <is>
          <t>Semáforo</t>
        </is>
      </c>
      <c r="F14" s="8" t="inlineStr">
        <is>
          <t>Acción recomendada</t>
        </is>
      </c>
    </row>
    <row r="15">
      <c r="A15" s="6">
        <f>Parametros!A2</f>
        <v/>
      </c>
      <c r="B15" s="9">
        <f>IFERROR(B7/Datos!B11,"N/D")</f>
        <v/>
      </c>
      <c r="C15" s="9">
        <f>Parametros!C2</f>
        <v/>
      </c>
      <c r="D15" s="9">
        <f>Parametros!D2</f>
        <v/>
      </c>
      <c r="E15" s="10">
        <f>IF(ISNUMBER(B15),IF(Parametros!B2=1,IF(B15&gt;=C15,"Verde",IF(B15&lt;D15,"Rojo","Amarillo")),IF(B15&lt;=C15,"Verde",IF(B15&gt;D15,"Rojo","Amarillo"))),"N/D")</f>
        <v/>
      </c>
      <c r="F15" s="11">
        <f>IF(E15="Rojo",Parametros!E2,IF(E15="Amarillo",Parametros!F2,IF(E15="Verde","Mantener.","Falta información.")))</f>
        <v/>
      </c>
    </row>
    <row r="16">
      <c r="A16" s="6">
        <f>Parametros!A3</f>
        <v/>
      </c>
      <c r="B16" s="9">
        <f>IFERROR(B8/Datos!B11,"N/D")</f>
        <v/>
      </c>
      <c r="C16" s="9">
        <f>Parametros!C3</f>
        <v/>
      </c>
      <c r="D16" s="9">
        <f>Parametros!D3</f>
        <v/>
      </c>
      <c r="E16" s="10">
        <f>IF(ISNUMBER(B16),IF(Parametros!B3=1,IF(B16&gt;=C16,"Verde",IF(B16&lt;D16,"Rojo","Amarillo")),IF(B16&lt;=C16,"Verde",IF(B16&gt;D16,"Rojo","Amarillo"))),"N/D")</f>
        <v/>
      </c>
      <c r="F16" s="11">
        <f>IF(E16="Rojo",Parametros!E3,IF(E16="Amarillo",Parametros!F3,IF(E16="Verde","Mantener.","Falta información.")))</f>
        <v/>
      </c>
    </row>
    <row r="17">
      <c r="A17" s="6">
        <f>Parametros!A4</f>
        <v/>
      </c>
      <c r="B17" s="9">
        <f>IFERROR(B9/Datos!B11,"N/D")</f>
        <v/>
      </c>
      <c r="C17" s="9">
        <f>Parametros!C4</f>
        <v/>
      </c>
      <c r="D17" s="9">
        <f>Parametros!D4</f>
        <v/>
      </c>
      <c r="E17" s="10">
        <f>IF(ISNUMBER(B17),IF(Parametros!B4=1,IF(B17&gt;=C17,"Verde",IF(B17&lt;D17,"Rojo","Amarillo")),IF(B17&lt;=C17,"Verde",IF(B17&gt;D17,"Rojo","Amarillo"))),"N/D")</f>
        <v/>
      </c>
      <c r="F17" s="11">
        <f>IF(E17="Rojo",Parametros!E4,IF(E17="Amarillo",Parametros!F4,IF(E17="Verde","Mantener.","Falta información.")))</f>
        <v/>
      </c>
    </row>
    <row r="18">
      <c r="A18" s="6">
        <f>Parametros!A5</f>
        <v/>
      </c>
      <c r="B18" s="12">
        <f>IFERROR(SUM(Datos!B20:B23)/SUM(Datos!B25:B28),"N/D")</f>
        <v/>
      </c>
      <c r="C18" s="12">
        <f>Parametros!C5</f>
        <v/>
      </c>
      <c r="D18" s="12">
        <f>Parametros!D5</f>
        <v/>
      </c>
      <c r="E18" s="10">
        <f>IF(ISNUMBER(B18),IF(Parametros!B5=1,IF(B18&gt;=C18,"Verde",IF(B18&lt;D18,"Rojo","Amarillo")),IF(B18&lt;=C18,"Verde",IF(B18&gt;D18,"Rojo","Amarillo"))),"N/D")</f>
        <v/>
      </c>
      <c r="F18" s="11">
        <f>IF(E18="Rojo",Parametros!E5,IF(E18="Amarillo",Parametros!F5,IF(E18="Verde","Mantener.","Falta información.")))</f>
        <v/>
      </c>
    </row>
    <row r="19">
      <c r="A19" s="6">
        <f>Parametros!A6</f>
        <v/>
      </c>
      <c r="B19" s="12">
        <f>IFERROR((SUM(Datos!B20:B23)-Datos!B22)/SUM(Datos!B25:B28),"N/D")</f>
        <v/>
      </c>
      <c r="C19" s="12">
        <f>Parametros!C6</f>
        <v/>
      </c>
      <c r="D19" s="12">
        <f>Parametros!D6</f>
        <v/>
      </c>
      <c r="E19" s="10">
        <f>IF(ISNUMBER(B19),IF(Parametros!B6=1,IF(B19&gt;=C19,"Verde",IF(B19&lt;D19,"Rojo","Amarillo")),IF(B19&lt;=C19,"Verde",IF(B19&gt;D19,"Rojo","Amarillo"))),"N/D")</f>
        <v/>
      </c>
      <c r="F19" s="11">
        <f>IF(E19="Rojo",Parametros!E6,IF(E19="Amarillo",Parametros!F6,IF(E19="Verde","Mantener.","Falta información.")))</f>
        <v/>
      </c>
    </row>
    <row r="20">
      <c r="A20" s="6">
        <f>Parametros!A7</f>
        <v/>
      </c>
      <c r="B20" s="13">
        <f>IFERROR(Datos!B21/Datos!B11*365,"N/D")</f>
        <v/>
      </c>
      <c r="C20" s="13">
        <f>Parametros!C7</f>
        <v/>
      </c>
      <c r="D20" s="13">
        <f>Parametros!D7</f>
        <v/>
      </c>
      <c r="E20" s="10">
        <f>IF(ISNUMBER(B20),IF(Parametros!B7=1,IF(B20&gt;=C20,"Verde",IF(B20&lt;D20,"Rojo","Amarillo")),IF(B20&lt;=C20,"Verde",IF(B20&gt;D20,"Rojo","Amarillo"))),"N/D")</f>
        <v/>
      </c>
      <c r="F20" s="11">
        <f>IF(E20="Rojo",Parametros!E7,IF(E20="Amarillo",Parametros!F7,IF(E20="Verde","Mantener.","Falta información.")))</f>
        <v/>
      </c>
    </row>
    <row r="21">
      <c r="A21" s="6">
        <f>Parametros!A8</f>
        <v/>
      </c>
      <c r="B21" s="13">
        <f>IFERROR(Datos!B22/Datos!B12*365,"N/D")</f>
        <v/>
      </c>
      <c r="C21" s="13">
        <f>Parametros!C8</f>
        <v/>
      </c>
      <c r="D21" s="13">
        <f>Parametros!D8</f>
        <v/>
      </c>
      <c r="E21" s="10">
        <f>IF(ISNUMBER(B21),IF(Parametros!B8=1,IF(B21&gt;=C21,"Verde",IF(B21&lt;D21,"Rojo","Amarillo")),IF(B21&lt;=C21,"Verde",IF(B21&gt;D21,"Rojo","Amarillo"))),"N/D")</f>
        <v/>
      </c>
      <c r="F21" s="11">
        <f>IF(E21="Rojo",Parametros!E8,IF(E21="Amarillo",Parametros!F8,IF(E21="Verde","Mantener.","Falta información.")))</f>
        <v/>
      </c>
    </row>
    <row r="22">
      <c r="A22" s="6">
        <f>Parametros!A9</f>
        <v/>
      </c>
      <c r="B22" s="13">
        <f>IFERROR(Datos!B25/Datos!B12*365,"N/D")</f>
        <v/>
      </c>
      <c r="C22" s="13">
        <f>Parametros!C9</f>
        <v/>
      </c>
      <c r="D22" s="13">
        <f>Parametros!D9</f>
        <v/>
      </c>
      <c r="E22" s="10">
        <f>IF(ISNUMBER(B22),IF(Parametros!B9=1,IF(B22&gt;=C22,"Verde",IF(B22&lt;D22,"Rojo","Amarillo")),IF(B22&lt;=C22,"Verde",IF(B22&gt;D22,"Rojo","Amarillo"))),"N/D")</f>
        <v/>
      </c>
      <c r="F22" s="11">
        <f>IF(E22="Rojo",Parametros!E9,IF(E22="Amarillo",Parametros!F9,IF(E22="Verde","Mantener.","Falta información.")))</f>
        <v/>
      </c>
    </row>
    <row r="23">
      <c r="A23" s="6">
        <f>Parametros!A10</f>
        <v/>
      </c>
      <c r="B23" s="13">
        <f>IFERROR(B20+B21-B22,"N/D")</f>
        <v/>
      </c>
      <c r="C23" s="13">
        <f>Parametros!C10</f>
        <v/>
      </c>
      <c r="D23" s="13">
        <f>Parametros!D10</f>
        <v/>
      </c>
      <c r="E23" s="10">
        <f>IF(ISNUMBER(B23),IF(Parametros!B10=1,IF(B23&gt;=C23,"Verde",IF(B23&lt;D23,"Rojo","Amarillo")),IF(B23&lt;=C23,"Verde",IF(B23&gt;D23,"Rojo","Amarillo"))),"N/D")</f>
        <v/>
      </c>
      <c r="F23" s="11">
        <f>IF(E23="Rojo",Parametros!E10,IF(E23="Amarillo",Parametros!F10,IF(E23="Verde","Mantener.","Falta información.")))</f>
        <v/>
      </c>
    </row>
    <row r="24">
      <c r="A24" s="6">
        <f>Parametros!A11</f>
        <v/>
      </c>
      <c r="B24" s="9">
        <f>IFERROR(B11/B10,"N/D")</f>
        <v/>
      </c>
      <c r="C24" s="9">
        <f>Parametros!C11</f>
        <v/>
      </c>
      <c r="D24" s="9">
        <f>Parametros!D11</f>
        <v/>
      </c>
      <c r="E24" s="10">
        <f>IF(ISNUMBER(B24),IF(Parametros!B11=1,IF(B24&gt;=C24,"Verde",IF(B24&lt;D24,"Rojo","Amarillo")),IF(B24&lt;=C24,"Verde",IF(B24&gt;D24,"Rojo","Amarillo"))),"N/D")</f>
        <v/>
      </c>
      <c r="F24" s="11">
        <f>IF(E24="Rojo",Parametros!E11,IF(E24="Amarillo",Parametros!F11,IF(E24="Verde","Mantener.","Falta información.")))</f>
        <v/>
      </c>
    </row>
    <row r="25">
      <c r="A25" s="6">
        <f>Parametros!A12</f>
        <v/>
      </c>
      <c r="B25" s="14">
        <f>IFERROR(B8/Datos!B15,"N/D")</f>
        <v/>
      </c>
      <c r="C25" s="14">
        <f>Parametros!C12</f>
        <v/>
      </c>
      <c r="D25" s="14">
        <f>Parametros!D12</f>
        <v/>
      </c>
      <c r="E25" s="10">
        <f>IF(ISNUMBER(B25),IF(Parametros!B12=1,IF(B25&gt;=C25,"Verde",IF(B25&lt;D25,"Rojo","Amarillo")),IF(B25&lt;=C25,"Verde",IF(B25&gt;D25,"Rojo","Amarillo"))),"N/D")</f>
        <v/>
      </c>
      <c r="F25" s="11">
        <f>IF(E25="Rojo",Parametros!E12,IF(E25="Amarillo",Parametros!F12,IF(E25="Verde","Mantener.","Falta información.")))</f>
        <v/>
      </c>
    </row>
    <row r="26">
      <c r="A26" s="6">
        <f>Parametros!A13</f>
        <v/>
      </c>
      <c r="B26" s="14">
        <f>IFERROR(Datos!B20/Datos!B31,"N/D")</f>
        <v/>
      </c>
      <c r="C26" s="14">
        <f>Parametros!C13</f>
        <v/>
      </c>
      <c r="D26" s="14">
        <f>Parametros!D13</f>
        <v/>
      </c>
      <c r="E26" s="10">
        <f>IF(ISNUMBER(B26),IF(Parametros!B13=1,IF(B26&gt;=C26,"Verde",IF(B26&lt;D26,"Rojo","Amarillo")),IF(B26&lt;=C26,"Verde",IF(B26&gt;D26,"Rojo","Amarillo"))),"N/D")</f>
        <v/>
      </c>
      <c r="F26" s="11">
        <f>IF(E26="Rojo",Parametros!E13,IF(E26="Amarillo",Parametros!F13,IF(E26="Verde","Mantener.","Falta información.")))</f>
        <v/>
      </c>
    </row>
    <row r="27">
      <c r="A27" s="6">
        <f>Parametros!A14</f>
        <v/>
      </c>
      <c r="B27" s="15">
        <f>IFERROR(COUNTIF(Datos!B34:B43,"Sí")/(COUNTIF(Datos!B34:B43,"Sí")+COUNTIF(Datos!B34:B43,"No")),"N/D")</f>
        <v/>
      </c>
      <c r="C27" s="15">
        <f>Parametros!C14</f>
        <v/>
      </c>
      <c r="D27" s="15">
        <f>Parametros!D14</f>
        <v/>
      </c>
      <c r="E27" s="10">
        <f>IF(ISNUMBER(B27),IF(Parametros!B14=1,IF(B27&gt;=C27,"Verde",IF(B27&lt;D27,"Rojo","Amarillo")),IF(B27&lt;=C27,"Verde",IF(B27&gt;D27,"Rojo","Amarillo"))),"N/D")</f>
        <v/>
      </c>
      <c r="F27" s="11">
        <f>IF(E27="Rojo",Parametros!E14,IF(E27="Amarillo",Parametros!F14,IF(E27="Verde","Mantener.","Falta información.")))</f>
        <v/>
      </c>
    </row>
    <row r="29">
      <c r="A29" s="5" t="inlineStr">
        <is>
          <t>PUNTAJE DE SALUD FINANCIERA</t>
        </is>
      </c>
      <c r="B29" s="16">
        <f>IFERROR((COUNTIF(E15:E27,"Verde")*2+COUNTIF(E15:E27,"Amarillo"))/((COUNTIF(E15:E27,"Verde")+COUNTIF(E15:E27,"Amarillo")+COUNTIF(E15:E27,"Rojo"))*2),0)</f>
        <v/>
      </c>
      <c r="C29" s="17">
        <f>IF(B29&gt;=0.75,"SALUDABLE",IF(B29&gt;=0.5,"EN ALERTA","CRÍTICO"))</f>
        <v/>
      </c>
    </row>
    <row r="30">
      <c r="A30" t="inlineStr">
        <is>
          <t>Indicadores en rojo / amarillo / verde</t>
        </is>
      </c>
      <c r="B30">
        <f>COUNTIF(E15:E27,"Rojo")&amp;" / "&amp;COUNTIF(E15:E27,"Amarillo")&amp;" / "&amp;COUNTIF(E15:E27,"Verde")</f>
        <v/>
      </c>
    </row>
    <row r="32">
      <c r="A32" s="5" t="inlineStr">
        <is>
          <t>PRÓXIMO PASO RECOMENDADO</t>
        </is>
      </c>
    </row>
    <row r="33">
      <c r="A33" s="18">
        <f>IF(COUNTIF(E15:E27,"Rojo")&gt;=3,"Acompañamiento financiero mensual: hay "&amp;COUNTIF(E15:E27,"Rojo")&amp;" indicadores críticos que requieren seguimiento continuo.",IF(COUNTIF(E15:E27,"Rojo")&gt;=1,"Plan de acción de 90 días sobre los indicadores en rojo, con revisión mensual.","Seguimiento trimestral y planeación tributaria para proteger la rentabilidad."))</f>
        <v/>
      </c>
    </row>
    <row r="34"/>
    <row r="36">
      <c r="A36" s="19" t="inlineStr">
        <is>
          <t>Diagnóstico basado en la información suministrada por el cliente, sin auditar. Rangos de referencia generales.</t>
        </is>
      </c>
    </row>
  </sheetData>
  <mergeCells count="5">
    <mergeCell ref="A2:F2"/>
    <mergeCell ref="C29:D29"/>
    <mergeCell ref="A1:F1"/>
    <mergeCell ref="A3:F3"/>
    <mergeCell ref="A33:F34"/>
  </mergeCells>
  <conditionalFormatting sqref="E15:E27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conditionalFormatting sqref="C29">
    <cfRule type="expression" priority="4" dxfId="3">
      <formula>$C$29="CRÍTICO"</formula>
    </cfRule>
    <cfRule type="expression" priority="5" dxfId="4">
      <formula>$C$29="EN ALERTA"</formula>
    </cfRule>
    <cfRule type="expression" priority="6" dxfId="5">
      <formula>$C$29="SALUDABLE"</formula>
    </cfRule>
  </conditionalFormatting>
  <printOptions horizontalCentered="1"/>
  <pageMargins left="0.4" right="0.4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50" customWidth="1" min="3" max="3"/>
  </cols>
  <sheetData>
    <row r="1">
      <c r="A1" s="20" t="inlineStr">
        <is>
          <t>DATOS DEL CLIENTE</t>
        </is>
      </c>
    </row>
    <row r="2">
      <c r="A2" t="inlineStr">
        <is>
          <t>Empresa</t>
        </is>
      </c>
      <c r="B2" s="21" t="inlineStr">
        <is>
          <t>Comercializadora Ejemplo SAS</t>
        </is>
      </c>
    </row>
    <row r="3">
      <c r="A3" t="inlineStr">
        <is>
          <t>NIT</t>
        </is>
      </c>
      <c r="B3" s="21" t="inlineStr">
        <is>
          <t>901000000-1</t>
        </is>
      </c>
    </row>
    <row r="4">
      <c r="A4" t="inlineStr">
        <is>
          <t>Sector</t>
        </is>
      </c>
      <c r="B4" s="21" t="inlineStr">
        <is>
          <t>Comercio</t>
        </is>
      </c>
    </row>
    <row r="5">
      <c r="A5" t="inlineStr">
        <is>
          <t>Régimen</t>
        </is>
      </c>
      <c r="B5" s="21" t="inlineStr">
        <is>
          <t>Ordinario</t>
        </is>
      </c>
    </row>
    <row r="6">
      <c r="A6" t="inlineStr">
        <is>
          <t>Periodo analizado</t>
        </is>
      </c>
      <c r="B6" s="21" t="inlineStr">
        <is>
          <t>Ene–Dic 2025</t>
        </is>
      </c>
    </row>
    <row r="7">
      <c r="A7" t="inlineStr">
        <is>
          <t>Fecha del diagnóstico</t>
        </is>
      </c>
      <c r="B7" s="22" t="n">
        <v>46311</v>
      </c>
    </row>
    <row r="8">
      <c r="A8" t="inlineStr">
        <is>
          <t>Elaborado por</t>
        </is>
      </c>
      <c r="B8" s="21" t="inlineStr">
        <is>
          <t>Contador Público TP ____</t>
        </is>
      </c>
    </row>
    <row r="10">
      <c r="A10" s="8" t="inlineStr">
        <is>
          <t>ESTADO DE RESULTADOS (periodo)</t>
        </is>
      </c>
      <c r="B10" s="8" t="inlineStr">
        <is>
          <t>Valor COP</t>
        </is>
      </c>
      <c r="C10" s="8" t="inlineStr">
        <is>
          <t>Nota</t>
        </is>
      </c>
    </row>
    <row r="11">
      <c r="A11" s="6" t="inlineStr">
        <is>
          <t>Ventas netas</t>
        </is>
      </c>
      <c r="B11" s="23" t="n">
        <v>1200000000</v>
      </c>
      <c r="C11" s="6" t="inlineStr"/>
    </row>
    <row r="12">
      <c r="A12" s="6" t="inlineStr">
        <is>
          <t>Costo de ventas</t>
        </is>
      </c>
      <c r="B12" s="23" t="n">
        <v>840000000</v>
      </c>
      <c r="C12" s="6" t="inlineStr"/>
    </row>
    <row r="13">
      <c r="A13" s="6" t="inlineStr">
        <is>
          <t>Gastos de administración</t>
        </is>
      </c>
      <c r="B13" s="23" t="n">
        <v>150000000</v>
      </c>
      <c r="C13" s="6" t="inlineStr"/>
    </row>
    <row r="14">
      <c r="A14" s="6" t="inlineStr">
        <is>
          <t>Gastos de ventas</t>
        </is>
      </c>
      <c r="B14" s="23" t="n">
        <v>95000000</v>
      </c>
      <c r="C14" s="6" t="inlineStr"/>
    </row>
    <row r="15">
      <c r="A15" s="6" t="inlineStr">
        <is>
          <t>Gastos financieros (intereses)</t>
        </is>
      </c>
      <c r="B15" s="23" t="n">
        <v>38000000</v>
      </c>
      <c r="C15" s="6" t="inlineStr"/>
    </row>
    <row r="16">
      <c r="A16" s="6" t="inlineStr">
        <is>
          <t>Otros ingresos (gastos) netos</t>
        </is>
      </c>
      <c r="B16" s="23" t="n">
        <v>0</v>
      </c>
      <c r="C16" s="6" t="inlineStr">
        <is>
          <t>Positivo = ingreso</t>
        </is>
      </c>
    </row>
    <row r="17">
      <c r="A17" s="6" t="inlineStr">
        <is>
          <t>Impuesto de renta</t>
        </is>
      </c>
      <c r="B17" s="23" t="n">
        <v>25000000</v>
      </c>
      <c r="C17" s="6" t="inlineStr"/>
    </row>
    <row r="19">
      <c r="A19" s="8" t="inlineStr">
        <is>
          <t>BALANCE (fecha de corte)</t>
        </is>
      </c>
      <c r="B19" s="8" t="inlineStr">
        <is>
          <t>Valor COP</t>
        </is>
      </c>
      <c r="C19" s="8" t="inlineStr">
        <is>
          <t>Nota</t>
        </is>
      </c>
    </row>
    <row r="20">
      <c r="A20" s="6" t="inlineStr">
        <is>
          <t>Efectivo y equivalentes</t>
        </is>
      </c>
      <c r="B20" s="23" t="n">
        <v>35000000</v>
      </c>
      <c r="C20" s="6" t="inlineStr"/>
    </row>
    <row r="21">
      <c r="A21" s="6" t="inlineStr">
        <is>
          <t>Cuentas por cobrar clientes</t>
        </is>
      </c>
      <c r="B21" s="23" t="n">
        <v>260000000</v>
      </c>
      <c r="C21" s="6" t="inlineStr"/>
    </row>
    <row r="22">
      <c r="A22" s="6" t="inlineStr">
        <is>
          <t>Inventarios</t>
        </is>
      </c>
      <c r="B22" s="23" t="n">
        <v>180000000</v>
      </c>
      <c r="C22" s="6" t="inlineStr"/>
    </row>
    <row r="23">
      <c r="A23" s="6" t="inlineStr">
        <is>
          <t>Otros activos corrientes</t>
        </is>
      </c>
      <c r="B23" s="23" t="n">
        <v>20000000</v>
      </c>
      <c r="C23" s="6" t="inlineStr"/>
    </row>
    <row r="24">
      <c r="A24" s="6" t="inlineStr">
        <is>
          <t>Activos no corrientes (propiedad, planta, otros)</t>
        </is>
      </c>
      <c r="B24" s="23" t="n">
        <v>210000000</v>
      </c>
      <c r="C24" s="6" t="inlineStr"/>
    </row>
    <row r="25">
      <c r="A25" s="6" t="inlineStr">
        <is>
          <t>Proveedores</t>
        </is>
      </c>
      <c r="B25" s="23" t="n">
        <v>95000000</v>
      </c>
      <c r="C25" s="6" t="inlineStr"/>
    </row>
    <row r="26">
      <c r="A26" s="6" t="inlineStr">
        <is>
          <t>Obligaciones financieras corto plazo</t>
        </is>
      </c>
      <c r="B26" s="23" t="n">
        <v>140000000</v>
      </c>
      <c r="C26" s="6" t="inlineStr"/>
    </row>
    <row r="27">
      <c r="A27" s="6" t="inlineStr">
        <is>
          <t>Impuestos por pagar</t>
        </is>
      </c>
      <c r="B27" s="23" t="n">
        <v>30000000</v>
      </c>
      <c r="C27" s="6" t="inlineStr"/>
    </row>
    <row r="28">
      <c r="A28" s="6" t="inlineStr">
        <is>
          <t>Otros pasivos corrientes</t>
        </is>
      </c>
      <c r="B28" s="23" t="n">
        <v>25000000</v>
      </c>
      <c r="C28" s="6" t="inlineStr"/>
    </row>
    <row r="29">
      <c r="A29" s="6" t="inlineStr">
        <is>
          <t>Pasivos no corrientes</t>
        </is>
      </c>
      <c r="B29" s="23" t="n">
        <v>120000000</v>
      </c>
      <c r="C29" s="6" t="inlineStr"/>
    </row>
    <row r="31">
      <c r="A31" s="6" t="inlineStr">
        <is>
          <t>Gasto fijo mensual promedio (nómina, arriendo, servicios…)</t>
        </is>
      </c>
      <c r="B31" s="23" t="n">
        <v>22000000</v>
      </c>
      <c r="C31" s="6" t="inlineStr">
        <is>
          <t>Para calcular los meses de caja disponibles</t>
        </is>
      </c>
    </row>
    <row r="33">
      <c r="A33" s="8" t="inlineStr">
        <is>
          <t>CHEQUEO TRIBUTARIO</t>
        </is>
      </c>
      <c r="B33" s="8" t="inlineStr">
        <is>
          <t>Sí / No / N/A</t>
        </is>
      </c>
      <c r="C33" s="8" t="inlineStr">
        <is>
          <t>Riesgo si es 'No'</t>
        </is>
      </c>
    </row>
    <row r="34">
      <c r="A34" s="6" t="inlineStr">
        <is>
          <t>RUT actualizado (responsabilidades y actividad)</t>
        </is>
      </c>
      <c r="B34" s="24" t="inlineStr">
        <is>
          <t>Sí</t>
        </is>
      </c>
      <c r="C34" s="6" t="inlineStr">
        <is>
          <t>Sanciones / responsabilidades mal asignadas</t>
        </is>
      </c>
    </row>
    <row r="35">
      <c r="A35" s="6" t="inlineStr">
        <is>
          <t>Facturación electrónica habilitada y emitiendo</t>
        </is>
      </c>
      <c r="B35" s="24" t="inlineStr">
        <is>
          <t>Sí</t>
        </is>
      </c>
      <c r="C35" s="6" t="inlineStr">
        <is>
          <t>Sanción por no facturar; rechazo de costos del cliente</t>
        </is>
      </c>
    </row>
    <row r="36">
      <c r="A36" s="6" t="inlineStr">
        <is>
          <t>Nómina electrónica transmitida mensualmente</t>
        </is>
      </c>
      <c r="B36" s="24" t="inlineStr">
        <is>
          <t>No</t>
        </is>
      </c>
      <c r="C36" s="6" t="inlineStr">
        <is>
          <t>Costos de nómina no deducibles</t>
        </is>
      </c>
    </row>
    <row r="37">
      <c r="A37" s="6" t="inlineStr">
        <is>
          <t>Documento soporte en compras a no obligados</t>
        </is>
      </c>
      <c r="B37" s="24" t="inlineStr">
        <is>
          <t>No</t>
        </is>
      </c>
      <c r="C37" s="6" t="inlineStr">
        <is>
          <t>Costos y gastos no deducibles</t>
        </is>
      </c>
    </row>
    <row r="38">
      <c r="A38" s="6" t="inlineStr">
        <is>
          <t>Retenciones en la fuente declaradas y pagadas a tiempo</t>
        </is>
      </c>
      <c r="B38" s="24" t="inlineStr">
        <is>
          <t>Sí</t>
        </is>
      </c>
      <c r="C38" s="6" t="inlineStr">
        <is>
          <t>Ineficacia de la declaración + intereses</t>
        </is>
      </c>
    </row>
    <row r="39">
      <c r="A39" s="6" t="inlineStr">
        <is>
          <t>IVA / impuesto al consumo declarado a tiempo</t>
        </is>
      </c>
      <c r="B39" s="24" t="inlineStr">
        <is>
          <t>Sí</t>
        </is>
      </c>
      <c r="C39" s="6" t="inlineStr">
        <is>
          <t>Sanción por extemporaneidad e intereses</t>
        </is>
      </c>
    </row>
    <row r="40">
      <c r="A40" s="6" t="inlineStr">
        <is>
          <t>Renta del último año presentada</t>
        </is>
      </c>
      <c r="B40" s="24" t="inlineStr">
        <is>
          <t>Sí</t>
        </is>
      </c>
      <c r="C40" s="6" t="inlineStr">
        <is>
          <t>Omisión / emplazamiento DIAN</t>
        </is>
      </c>
    </row>
    <row r="41">
      <c r="A41" s="6" t="inlineStr">
        <is>
          <t>Información exógena reportada</t>
        </is>
      </c>
      <c r="B41" s="24" t="inlineStr">
        <is>
          <t>No</t>
        </is>
      </c>
      <c r="C41" s="6" t="inlineStr">
        <is>
          <t>Sanción por no enviar información</t>
        </is>
      </c>
    </row>
    <row r="42">
      <c r="A42" s="6" t="inlineStr">
        <is>
          <t>ICA / industria y comercio al día</t>
        </is>
      </c>
      <c r="B42" s="24" t="inlineStr">
        <is>
          <t>Sí</t>
        </is>
      </c>
      <c r="C42" s="6" t="inlineStr">
        <is>
          <t>Sanciones municipales</t>
        </is>
      </c>
    </row>
    <row r="43">
      <c r="A43" s="6" t="inlineStr">
        <is>
          <t>Contabilidad al día (cierre mensual ≤ 30 días)</t>
        </is>
      </c>
      <c r="B43" s="24" t="inlineStr">
        <is>
          <t>No</t>
        </is>
      </c>
      <c r="C43" s="6" t="inlineStr">
        <is>
          <t>Decisiones con información atrasada</t>
        </is>
      </c>
    </row>
  </sheetData>
  <dataValidations count="2">
    <dataValidation sqref="B5" showDropDown="0" showInputMessage="0" showErrorMessage="0" allowBlank="0" type="list">
      <formula1>"SIMPLE,Ordinario,Persona natural,No responsable de IVA"</formula1>
    </dataValidation>
    <dataValidation sqref="B34 B35 B36 B37 B38 B39 B40 B41 B42 B43" showDropDown="0" showInputMessage="0" showErrorMessage="0" allowBlank="1" type="list">
      <formula1>"Sí,No,N/A"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60" customWidth="1" min="5" max="5"/>
    <col width="60" customWidth="1" min="6" max="6"/>
  </cols>
  <sheetData>
    <row r="1">
      <c r="A1" s="8" t="inlineStr">
        <is>
          <t>Indicador</t>
        </is>
      </c>
      <c r="B1" s="8" t="inlineStr">
        <is>
          <t>Dirección</t>
        </is>
      </c>
      <c r="C1" s="8" t="inlineStr">
        <is>
          <t>Verde si</t>
        </is>
      </c>
      <c r="D1" s="8" t="inlineStr">
        <is>
          <t>Rojo si</t>
        </is>
      </c>
      <c r="E1" s="8" t="inlineStr">
        <is>
          <t>Acción si ROJO</t>
        </is>
      </c>
      <c r="F1" s="8" t="inlineStr">
        <is>
          <t>Acción si AMARILLO</t>
        </is>
      </c>
    </row>
    <row r="2">
      <c r="A2" s="6" t="inlineStr">
        <is>
          <t>Margen bruto</t>
        </is>
      </c>
      <c r="B2" s="25" t="n">
        <v>1</v>
      </c>
      <c r="C2" s="26" t="n">
        <v>0.35</v>
      </c>
      <c r="D2" s="26" t="n">
        <v>0.2</v>
      </c>
      <c r="E2" s="11" t="inlineStr">
        <is>
          <t>Revisar precios, descuentos y costo de compra; el margen no cubre la operación.</t>
        </is>
      </c>
      <c r="F2" s="11" t="inlineStr">
        <is>
          <t>Negociar con proveedores y revisar la mezcla de productos.</t>
        </is>
      </c>
    </row>
    <row r="3">
      <c r="A3" s="6" t="inlineStr">
        <is>
          <t>Margen operacional</t>
        </is>
      </c>
      <c r="B3" s="25" t="n">
        <v>1</v>
      </c>
      <c r="C3" s="26" t="n">
        <v>0.1</v>
      </c>
      <c r="D3" s="26" t="n">
        <v>0.03</v>
      </c>
      <c r="E3" s="11" t="inlineStr">
        <is>
          <t>Los gastos consumen el margen: recortar gastos fijos y revisar la estructura.</t>
        </is>
      </c>
      <c r="F3" s="11" t="inlineStr">
        <is>
          <t>Controlar los gastos de administración y ventas mes a mes.</t>
        </is>
      </c>
    </row>
    <row r="4">
      <c r="A4" s="6" t="inlineStr">
        <is>
          <t>Margen neto</t>
        </is>
      </c>
      <c r="B4" s="25" t="n">
        <v>1</v>
      </c>
      <c r="C4" s="26" t="n">
        <v>0.07000000000000001</v>
      </c>
      <c r="D4" s="26" t="n">
        <v>0.02</v>
      </c>
      <c r="E4" s="11" t="inlineStr">
        <is>
          <t>La rentabilidad final es crítica: revisar la carga financiera y tributaria.</t>
        </is>
      </c>
      <c r="F4" s="11" t="inlineStr">
        <is>
          <t>Planeación tributaria y reducción del costo financiero.</t>
        </is>
      </c>
    </row>
    <row r="5">
      <c r="A5" s="6" t="inlineStr">
        <is>
          <t>Razón corriente</t>
        </is>
      </c>
      <c r="B5" s="25" t="n">
        <v>1</v>
      </c>
      <c r="C5" s="27" t="n">
        <v>1.5</v>
      </c>
      <c r="D5" s="27" t="n">
        <v>1</v>
      </c>
      <c r="E5" s="11" t="inlineStr">
        <is>
          <t>Riesgo de iliquidez: los pasivos de corto plazo superan los activos corrientes.</t>
        </is>
      </c>
      <c r="F5" s="11" t="inlineStr">
        <is>
          <t>Mejorar el capital de trabajo: cobrar más rápido y reestructurar la deuda de corto plazo.</t>
        </is>
      </c>
    </row>
    <row r="6">
      <c r="A6" s="6" t="inlineStr">
        <is>
          <t>Prueba ácida</t>
        </is>
      </c>
      <c r="B6" s="25" t="n">
        <v>1</v>
      </c>
      <c r="C6" s="27" t="n">
        <v>1</v>
      </c>
      <c r="D6" s="27" t="n">
        <v>0.7</v>
      </c>
      <c r="E6" s="11" t="inlineStr">
        <is>
          <t>Sin inventario no alcanza a cubrir las deudas de corto plazo.</t>
        </is>
      </c>
      <c r="F6" s="11" t="inlineStr">
        <is>
          <t>Reducir el inventario inmovilizado.</t>
        </is>
      </c>
    </row>
    <row r="7">
      <c r="A7" s="6" t="inlineStr">
        <is>
          <t>Días de cartera</t>
        </is>
      </c>
      <c r="B7" s="25" t="n">
        <v>-1</v>
      </c>
      <c r="C7" s="28" t="n">
        <v>45</v>
      </c>
      <c r="D7" s="28" t="n">
        <v>90</v>
      </c>
      <c r="E7" s="11" t="inlineStr">
        <is>
          <t>Los clientes pagan muy tarde: política de crédito, cobro y descuentos por pronto pago.</t>
        </is>
      </c>
      <c r="F7" s="11" t="inlineStr">
        <is>
          <t>Seguimiento semanal de la cartera por edades.</t>
        </is>
      </c>
    </row>
    <row r="8">
      <c r="A8" s="6" t="inlineStr">
        <is>
          <t>Días de inventario</t>
        </is>
      </c>
      <c r="B8" s="25" t="n">
        <v>-1</v>
      </c>
      <c r="C8" s="28" t="n">
        <v>60</v>
      </c>
      <c r="D8" s="28" t="n">
        <v>120</v>
      </c>
      <c r="E8" s="11" t="inlineStr">
        <is>
          <t>Exceso de inventario: liquidar las referencias de baja rotación.</t>
        </is>
      </c>
      <c r="F8" s="11" t="inlineStr">
        <is>
          <t>Ajustar las compras a la rotación real.</t>
        </is>
      </c>
    </row>
    <row r="9">
      <c r="A9" s="6" t="inlineStr">
        <is>
          <t>Días de proveedores</t>
        </is>
      </c>
      <c r="B9" s="25" t="n">
        <v>1</v>
      </c>
      <c r="C9" s="28" t="n">
        <v>30</v>
      </c>
      <c r="D9" s="28" t="n">
        <v>15</v>
      </c>
      <c r="E9" s="11" t="inlineStr">
        <is>
          <t>Pagas demasiado rápido: negociar plazos con los proveedores.</t>
        </is>
      </c>
      <c r="F9" s="11" t="inlineStr">
        <is>
          <t>Buscar más plazo con los proveedores clave.</t>
        </is>
      </c>
    </row>
    <row r="10">
      <c r="A10" s="6" t="inlineStr">
        <is>
          <t>Ciclo de caja (días)</t>
        </is>
      </c>
      <c r="B10" s="25" t="n">
        <v>-1</v>
      </c>
      <c r="C10" s="28" t="n">
        <v>45</v>
      </c>
      <c r="D10" s="28" t="n">
        <v>90</v>
      </c>
      <c r="E10" s="11" t="inlineStr">
        <is>
          <t>El negocio financia a los clientes durante demasiado tiempo: actuar sobre cartera, inventario y proveedores.</t>
        </is>
      </c>
      <c r="F10" s="11" t="inlineStr">
        <is>
          <t>Monitorear el ciclo de caja mensualmente.</t>
        </is>
      </c>
    </row>
    <row r="11">
      <c r="A11" s="6" t="inlineStr">
        <is>
          <t>Endeudamiento</t>
        </is>
      </c>
      <c r="B11" s="25" t="n">
        <v>-1</v>
      </c>
      <c r="C11" s="26" t="n">
        <v>0.5</v>
      </c>
      <c r="D11" s="26" t="n">
        <v>0.7</v>
      </c>
      <c r="E11" s="11" t="inlineStr">
        <is>
          <t>Deuda alta: frenar el endeudamiento nuevo y reestructurar.</t>
        </is>
      </c>
      <c r="F11" s="11" t="inlineStr">
        <is>
          <t>Vigilar el nivel de deuda antes de financiar crecimiento.</t>
        </is>
      </c>
    </row>
    <row r="12">
      <c r="A12" s="6" t="inlineStr">
        <is>
          <t>Cobertura de intereses</t>
        </is>
      </c>
      <c r="B12" s="25" t="n">
        <v>1</v>
      </c>
      <c r="C12" s="29" t="n">
        <v>3</v>
      </c>
      <c r="D12" s="29" t="n">
        <v>1.5</v>
      </c>
      <c r="E12" s="11" t="inlineStr">
        <is>
          <t>La utilidad operativa apenas cubre los intereses: refinanciar.</t>
        </is>
      </c>
      <c r="F12" s="11" t="inlineStr">
        <is>
          <t>Buscar tasas más bajas o prepagar la deuda cara.</t>
        </is>
      </c>
    </row>
    <row r="13">
      <c r="A13" s="6" t="inlineStr">
        <is>
          <t>Meses de caja</t>
        </is>
      </c>
      <c r="B13" s="25" t="n">
        <v>1</v>
      </c>
      <c r="C13" s="29" t="n">
        <v>3</v>
      </c>
      <c r="D13" s="29" t="n">
        <v>1</v>
      </c>
      <c r="E13" s="11" t="inlineStr">
        <is>
          <t>Menos de 1 mes de caja: plan de tesorería urgente (flujo a 13 semanas).</t>
        </is>
      </c>
      <c r="F13" s="11" t="inlineStr">
        <is>
          <t>Construir una reserva de al menos 3 meses de gastos fijos.</t>
        </is>
      </c>
    </row>
    <row r="14">
      <c r="A14" s="6" t="inlineStr">
        <is>
          <t>Cumplimiento tributario</t>
        </is>
      </c>
      <c r="B14" s="25" t="n">
        <v>1</v>
      </c>
      <c r="C14" s="30" t="n">
        <v>1</v>
      </c>
      <c r="D14" s="30" t="n">
        <v>0.8</v>
      </c>
      <c r="E14" s="11" t="inlineStr">
        <is>
          <t>Riesgo alto de sanciones DIAN: normalizar las obligaciones pendientes de inmediato.</t>
        </is>
      </c>
      <c r="F14" s="11" t="inlineStr">
        <is>
          <t>Corregir los puntos pendientes del chequeo tributario.</t>
        </is>
      </c>
    </row>
    <row r="17">
      <c r="A17" s="31" t="inlineStr">
        <is>
          <t>Dirección: 1 = más alto es mejor · -1 = más bajo es mejor. Los rangos son referencias generales; ajústalos por sector.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2026-10-16T00:02:24Z</dcterms:created>
  <dcterms:modified xsi:type="dcterms:W3CDTF">2026-10-16T00:02:24Z</dcterms:modified>
</cp:coreProperties>
</file>