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ablero" sheetId="2" state="visible" r:id="rId2"/>
    <sheet name="Parametros" sheetId="3" state="visible" r:id="rId3"/>
    <sheet name="Pipeline" sheetId="4" state="visible" r:id="rId4"/>
    <sheet name="Clientes" sheetId="5" state="visible" r:id="rId5"/>
    <sheet name="Obligaciones" sheetId="6" state="visible" r:id="rId6"/>
    <sheet name="Horas" sheetId="7" state="visible" r:id="rId7"/>
    <sheet name="Facturacion" sheetId="8" state="visible" r:id="rId8"/>
  </sheets>
  <definedNames>
    <definedName name="_xlnm._FilterDatabase" localSheetId="3" hidden="1">'Pipeline'!$A$1:$M$301</definedName>
    <definedName name="_xlnm._FilterDatabase" localSheetId="4" hidden="1">'Clientes'!$A$1:$M$301</definedName>
    <definedName name="_xlnm._FilterDatabase" localSheetId="5" hidden="1">'Obligaciones'!$A$1:$I$301</definedName>
    <definedName name="_xlnm._FilterDatabase" localSheetId="6" hidden="1">'Horas'!$A$1:$F$301</definedName>
    <definedName name="_xlnm._FilterDatabase" localSheetId="7" hidden="1">'Facturacion'!$A$1:$J$301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0.0"/>
    <numFmt numFmtId="168" formatCode="0.0%"/>
  </numFmts>
  <fonts count="10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color rgb="000000FF"/>
    </font>
    <font>
      <b val="1"/>
      <color rgb="00FFFFFF"/>
    </font>
    <font>
      <i val="1"/>
      <color rgb="00808080"/>
    </font>
    <font>
      <b val="1"/>
      <color rgb="001F3864"/>
      <sz val="16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17" fontId="0" fillId="0" borderId="0" pivotButton="0" quotePrefix="0" xfId="0"/>
    <xf numFmtId="0" fontId="6" fillId="2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1" fontId="0" fillId="0" borderId="1" pivotButton="0" quotePrefix="0" xfId="0"/>
    <xf numFmtId="168" fontId="0" fillId="0" borderId="1" pivotButton="0" quotePrefix="0" xfId="0"/>
    <xf numFmtId="167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9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CENTRO DE CONTROL DE LA FIRMA</t>
        </is>
      </c>
    </row>
    <row r="2">
      <c r="A2" s="2" t="inlineStr"/>
    </row>
    <row r="3">
      <c r="A3" s="2" t="inlineStr">
        <is>
          <t>Tablero: indicadores del negocio con semáforo frente a las metas. Cambia el 'Mes de análisis' en Parametros.</t>
        </is>
      </c>
    </row>
    <row r="4">
      <c r="A4" s="2" t="inlineStr">
        <is>
          <t>Pipeline: cada prospecto y su etapa. Regla: toda oportunidad abierta tiene un próximo paso con fecha.</t>
        </is>
      </c>
    </row>
    <row r="5">
      <c r="A5" s="2" t="inlineStr">
        <is>
          <t>Clientes: clientes activos, plan, valor mensual, riesgo y rentabilidad (horas del mes).</t>
        </is>
      </c>
    </row>
    <row r="6">
      <c r="A6" s="2" t="inlineStr">
        <is>
          <t>Obligaciones: TODOS los vencimientos de TODOS los clientes. Cárgalos cada año desde el calendario oficial DIAN/municipal.</t>
        </is>
      </c>
    </row>
    <row r="7">
      <c r="A7" s="2" t="inlineStr">
        <is>
          <t>Horas: registro diario de tiempo por cliente (base del ingreso por hora).</t>
        </is>
      </c>
    </row>
    <row r="8">
      <c r="A8" s="2" t="inlineStr">
        <is>
          <t>Facturacion: facturas emitidas, pagos y cartera de la firma por edades.</t>
        </is>
      </c>
    </row>
    <row r="9">
      <c r="A9" s="2" t="inlineStr">
        <is>
          <t>Parametros: planes, precios, listas desplegables y metas.</t>
        </is>
      </c>
    </row>
    <row r="10">
      <c r="A10" s="2" t="inlineStr"/>
    </row>
    <row r="11">
      <c r="A11" s="3" t="inlineStr">
        <is>
          <t>Celdas en azul = datos que llenas. El resto se calcula solo. Los datos de ejemplo son ficticios: bórralos al empezar.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4" customWidth="1" min="4" max="4"/>
  </cols>
  <sheetData>
    <row r="1">
      <c r="A1" s="4" t="inlineStr">
        <is>
          <t>TABLERO DE LA FIRMA</t>
        </is>
      </c>
    </row>
    <row r="2">
      <c r="A2" t="inlineStr">
        <is>
          <t>Mes de análisis:</t>
        </is>
      </c>
      <c r="B2" s="5">
        <f>Parametros!B1</f>
        <v/>
      </c>
    </row>
    <row r="4">
      <c r="A4" s="6" t="inlineStr">
        <is>
          <t>Indicador</t>
        </is>
      </c>
      <c r="B4" s="6" t="inlineStr">
        <is>
          <t>Valor</t>
        </is>
      </c>
      <c r="C4" s="6" t="inlineStr">
        <is>
          <t>Meta</t>
        </is>
      </c>
      <c r="D4" s="6" t="inlineStr">
        <is>
          <t>Estado</t>
        </is>
      </c>
    </row>
    <row r="5">
      <c r="A5" s="7" t="inlineStr">
        <is>
          <t>FINANZAS</t>
        </is>
      </c>
      <c r="B5" s="8" t="n"/>
      <c r="C5" s="8" t="n"/>
      <c r="D5" s="8" t="n"/>
    </row>
    <row r="6">
      <c r="A6" s="9" t="inlineStr">
        <is>
          <t>Ingreso mensual recurrente (MRR)</t>
        </is>
      </c>
      <c r="B6" s="10">
        <f>SUMIFS(Clientes!$E$2:$E$301,Clientes!$G$2:$G$301,"Activo")</f>
        <v/>
      </c>
      <c r="C6" s="10">
        <f>Parametros!B14</f>
        <v/>
      </c>
      <c r="D6" s="11">
        <f>IF(B6&gt;=C6,"Verde",IF(B6&gt;=C6*0.7,"Amarillo","Rojo"))</f>
        <v/>
      </c>
    </row>
    <row r="7">
      <c r="A7" s="9" t="inlineStr">
        <is>
          <t>Clientes activos</t>
        </is>
      </c>
      <c r="B7" s="12">
        <f>COUNTIFS(Clientes!$G$2:$G$301,"Activo")</f>
        <v/>
      </c>
      <c r="C7" s="9" t="n"/>
      <c r="D7" s="11" t="n"/>
    </row>
    <row r="8">
      <c r="A8" s="9" t="inlineStr">
        <is>
          <t>Ticket promedio</t>
        </is>
      </c>
      <c r="B8" s="10">
        <f>IFERROR(B6/B7,0)</f>
        <v/>
      </c>
      <c r="C8" s="9" t="n"/>
      <c r="D8" s="11" t="n"/>
    </row>
    <row r="9">
      <c r="A9" s="9" t="inlineStr">
        <is>
          <t>Facturado en el mes</t>
        </is>
      </c>
      <c r="B9" s="10">
        <f>SUMIFS(Facturacion!$E$2:$E$301,Facturacion!$C$2:$C$301,"&gt;="&amp;Parametros!$B$1,Facturacion!$C$2:$C$301,"&lt;"&amp;EDATE(Parametros!$B$1,1))</f>
        <v/>
      </c>
      <c r="C9" s="9" t="n"/>
      <c r="D9" s="11" t="n"/>
    </row>
    <row r="10">
      <c r="A10" s="9" t="inlineStr">
        <is>
          <t>Cartera total por cobrar</t>
        </is>
      </c>
      <c r="B10" s="10">
        <f>SUM(Facturacion!$H$2:$H$301)</f>
        <v/>
      </c>
      <c r="C10" s="9" t="n"/>
      <c r="D10" s="11" t="n"/>
    </row>
    <row r="11">
      <c r="A11" s="9" t="inlineStr">
        <is>
          <t>Cartera con más de 30 días de mora</t>
        </is>
      </c>
      <c r="B11" s="10">
        <f>SUMIFS(Facturacion!$H$2:$H$301,Facturacion!$I$2:$I$301,"&gt;30")</f>
        <v/>
      </c>
      <c r="C11" s="9" t="n"/>
      <c r="D11" s="11" t="n"/>
    </row>
    <row r="12">
      <c r="A12" s="9" t="inlineStr">
        <is>
          <t>Cartera &gt; 30 días / MRR</t>
        </is>
      </c>
      <c r="B12" s="13">
        <f>IFERROR(B11/B6,0)</f>
        <v/>
      </c>
      <c r="C12" s="13">
        <f>Parametros!B17</f>
        <v/>
      </c>
      <c r="D12" s="11">
        <f>IF(B12&lt;=C12,"Verde",IF(B12&lt;=C12*1.5+0.0001,"Amarillo","Rojo"))</f>
        <v/>
      </c>
    </row>
    <row r="13">
      <c r="A13" s="9" t="inlineStr">
        <is>
          <t>Horas registradas en el mes</t>
        </is>
      </c>
      <c r="B13" s="14">
        <f>SUMIFS(Horas!$D$2:$D$301,Horas!$E$2:$E$301,Parametros!$B$1)</f>
        <v/>
      </c>
      <c r="C13" s="9" t="n"/>
      <c r="D13" s="11" t="n"/>
    </row>
    <row r="14">
      <c r="A14" s="9" t="inlineStr">
        <is>
          <t>Ingreso por hora (MRR / horas)</t>
        </is>
      </c>
      <c r="B14" s="10">
        <f>IFERROR(B6/B13,0)</f>
        <v/>
      </c>
      <c r="C14" s="10">
        <f>Parametros!B18</f>
        <v/>
      </c>
      <c r="D14" s="11">
        <f>IF(B14&gt;=C14,"Verde",IF(B14&gt;=C14*0.7,"Amarillo","Rojo"))</f>
        <v/>
      </c>
    </row>
    <row r="15">
      <c r="A15" s="9" t="inlineStr">
        <is>
          <t>Uso de capacidad</t>
        </is>
      </c>
      <c r="B15" s="15">
        <f>IFERROR(B13/Parametros!B20,0)</f>
        <v/>
      </c>
      <c r="C15" s="15" t="n">
        <v>0.8</v>
      </c>
      <c r="D15" s="11">
        <f>IF(B15&lt;=C15,"Verde",IF(B15&lt;=C15*1.5+0.0001,"Amarillo","Rojo"))</f>
        <v/>
      </c>
    </row>
    <row r="16">
      <c r="A16" s="9" t="inlineStr">
        <is>
          <t>Concentración: cliente más grande / MRR</t>
        </is>
      </c>
      <c r="B16" s="15">
        <f>IFERROR(MAX(Clientes!$L$2:$L$301),0)</f>
        <v/>
      </c>
      <c r="C16" s="15">
        <f>Parametros!B19</f>
        <v/>
      </c>
      <c r="D16" s="11">
        <f>IF(B16&lt;=C16,"Verde",IF(B16&lt;=C16*1.5+0.0001,"Amarillo","Rojo"))</f>
        <v/>
      </c>
    </row>
    <row r="17">
      <c r="A17" s="7" t="inlineStr">
        <is>
          <t>COMERCIAL</t>
        </is>
      </c>
      <c r="B17" s="8" t="n"/>
      <c r="C17" s="8" t="n"/>
      <c r="D17" s="8" t="n"/>
    </row>
    <row r="18">
      <c r="A18" s="9" t="inlineStr">
        <is>
          <t>Clientes nuevos en el mes</t>
        </is>
      </c>
      <c r="B18" s="12">
        <f>COUNTIFS(Clientes!$F$2:$F$301,"&gt;="&amp;Parametros!$B$1,Clientes!$F$2:$F$301,"&lt;"&amp;EDATE(Parametros!$B$1,1))</f>
        <v/>
      </c>
      <c r="C18" s="12">
        <f>Parametros!B15</f>
        <v/>
      </c>
      <c r="D18" s="11">
        <f>IF(B18&gt;=C18,"Verde",IF(B18&gt;=C18*0.7,"Amarillo","Rojo"))</f>
        <v/>
      </c>
    </row>
    <row r="19">
      <c r="A19" s="9" t="inlineStr">
        <is>
          <t>Oportunidades abiertas</t>
        </is>
      </c>
      <c r="B19" s="12">
        <f>SUM(Pipeline!$M$2:$M$301)</f>
        <v/>
      </c>
      <c r="C19" s="9" t="n"/>
      <c r="D19" s="11" t="n"/>
    </row>
    <row r="20">
      <c r="A20" s="9" t="inlineStr">
        <is>
          <t>Valor mensual del pipeline abierto</t>
        </is>
      </c>
      <c r="B20" s="10">
        <f>SUMIFS(Pipeline!$H$2:$H$301,Pipeline!$M$2:$M$301,1)</f>
        <v/>
      </c>
      <c r="C20" s="9" t="n"/>
      <c r="D20" s="11" t="n"/>
    </row>
    <row r="21">
      <c r="A21" s="9" t="inlineStr">
        <is>
          <t>Tasa de cierre (ganados / cerrados)</t>
        </is>
      </c>
      <c r="B21" s="15">
        <f>IFERROR(COUNTIF(Pipeline!$F$2:$F$301,"7 Ganado")/(COUNTIF(Pipeline!$F$2:$F$301,"7 Ganado")+COUNTIF(Pipeline!$F$2:$F$301,"8 Perdido")),0)</f>
        <v/>
      </c>
      <c r="C21" s="15">
        <f>Parametros!B16</f>
        <v/>
      </c>
      <c r="D21" s="11">
        <f>IF(B21&gt;=C21,"Verde",IF(B21&gt;=C21*0.7,"Amarillo","Rojo"))</f>
        <v/>
      </c>
    </row>
    <row r="22">
      <c r="A22" s="9" t="inlineStr">
        <is>
          <t>Oportunidades con próximo paso vencido o sin fecha</t>
        </is>
      </c>
      <c r="B22" s="12">
        <f>COUNTIF(Pipeline!$K$2:$K$301,"VENCIDO")+COUNTIF(Pipeline!$K$2:$K$301,"SIN FECHA")</f>
        <v/>
      </c>
      <c r="C22" s="12" t="n">
        <v>0</v>
      </c>
      <c r="D22" s="11">
        <f>IF(B22&lt;=C22,"Verde",IF(B22&lt;=C22*1.5+0.0001,"Amarillo","Rojo"))</f>
        <v/>
      </c>
    </row>
    <row r="23">
      <c r="A23" s="7" t="inlineStr">
        <is>
          <t>OPERACIONES Y RIESGO</t>
        </is>
      </c>
      <c r="B23" s="8" t="n"/>
      <c r="C23" s="8" t="n"/>
      <c r="D23" s="8" t="n"/>
    </row>
    <row r="24">
      <c r="A24" s="9" t="inlineStr">
        <is>
          <t>Obligaciones VENCIDAS sin presentar</t>
        </is>
      </c>
      <c r="B24" s="12">
        <f>COUNTIF(Obligaciones!$H$2:$H$301,"VENCIDA")</f>
        <v/>
      </c>
      <c r="C24" s="12" t="n">
        <v>0</v>
      </c>
      <c r="D24" s="11">
        <f>IF(B24&lt;=C24,"Verde",IF(B24&lt;=C24*1.5+0.0001,"Amarillo","Rojo"))</f>
        <v/>
      </c>
    </row>
    <row r="25">
      <c r="A25" s="9" t="inlineStr">
        <is>
          <t>Obligaciones URGENTES (≤ 5 días)</t>
        </is>
      </c>
      <c r="B25" s="12">
        <f>COUNTIF(Obligaciones!$H$2:$H$301,"URGENTE")</f>
        <v/>
      </c>
      <c r="C25" s="9" t="n"/>
      <c r="D25" s="11" t="n"/>
    </row>
    <row r="26">
      <c r="A26" s="9" t="inlineStr">
        <is>
          <t>Obligaciones próximas (6–15 días)</t>
        </is>
      </c>
      <c r="B26" s="12">
        <f>COUNTIF(Obligaciones!$H$2:$H$301,"PRÓXIMA")</f>
        <v/>
      </c>
      <c r="C26" s="9" t="n"/>
      <c r="D26" s="11" t="n"/>
    </row>
    <row r="27">
      <c r="A27" s="9" t="inlineStr">
        <is>
          <t>Clientes activos con riesgo ALTO</t>
        </is>
      </c>
      <c r="B27" s="12">
        <f>COUNTIFS(Clientes!$G$2:$G$301,"Activo",Clientes!$H$2:$H$301,"Alto")</f>
        <v/>
      </c>
      <c r="C27" s="12" t="n">
        <v>0</v>
      </c>
      <c r="D27" s="11">
        <f>IF(B27&lt;=C27,"Verde",IF(B27&lt;=C27*1.5+0.0001,"Amarillo","Rojo"))</f>
        <v/>
      </c>
    </row>
    <row r="28">
      <c r="A28" s="9" t="inlineStr">
        <is>
          <t>Clientes con rentabilidad BAJA</t>
        </is>
      </c>
      <c r="B28" s="12">
        <f>COUNTIF(Clientes!$M$2:$M$301,"BAJA")</f>
        <v/>
      </c>
      <c r="C28" s="12" t="n">
        <v>0</v>
      </c>
      <c r="D28" s="11">
        <f>IF(B28&lt;=C28,"Verde",IF(B28&lt;=C28*1.5+0.0001,"Amarillo","Rojo"))</f>
        <v/>
      </c>
    </row>
    <row r="29">
      <c r="A29" s="7" t="inlineStr">
        <is>
          <t>CLIENTE</t>
        </is>
      </c>
      <c r="B29" s="8" t="n"/>
      <c r="C29" s="8" t="n"/>
      <c r="D29" s="8" t="n"/>
    </row>
    <row r="30">
      <c r="A30" s="9" t="inlineStr">
        <is>
          <t>NPS (promotores − detractores)</t>
        </is>
      </c>
      <c r="B30" s="12">
        <f>IFERROR((COUNTIFS(Clientes!$G$2:$G$301,"Activo",Clientes!$I$2:$I$301,"&gt;=9")-COUNTIFS(Clientes!$G$2:$G$301,"Activo",Clientes!$I$2:$I$301,"&lt;=6"))/COUNTIFS(Clientes!$G$2:$G$301,"Activo",Clientes!$I$2:$I$301,"&gt;=0")*100,0)</f>
        <v/>
      </c>
      <c r="C30" s="12" t="n">
        <v>50</v>
      </c>
      <c r="D30" s="11">
        <f>IF(B30&gt;=C30,"Verde",IF(B30&gt;=C30*0.7,"Amarillo","Rojo"))</f>
        <v/>
      </c>
    </row>
  </sheetData>
  <conditionalFormatting sqref="D5:D31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6" t="inlineStr">
        <is>
          <t>Mes de análisis (día 1)</t>
        </is>
      </c>
      <c r="B1" s="17" t="n">
        <v>46296</v>
      </c>
      <c r="D1" s="6" t="inlineStr">
        <is>
          <t>Plan</t>
        </is>
      </c>
      <c r="E1" s="6" t="inlineStr">
        <is>
          <t>Segmento</t>
        </is>
      </c>
      <c r="F1" s="6" t="inlineStr">
        <is>
          <t>Canal</t>
        </is>
      </c>
      <c r="G1" s="6" t="inlineStr">
        <is>
          <t>Etapa</t>
        </is>
      </c>
      <c r="H1" s="6" t="inlineStr">
        <is>
          <t>Obligación</t>
        </is>
      </c>
      <c r="I1" s="6" t="inlineStr">
        <is>
          <t>Estado obligación</t>
        </is>
      </c>
      <c r="J1" s="6" t="inlineStr">
        <is>
          <t>Actividad</t>
        </is>
      </c>
      <c r="K1" s="6" t="inlineStr">
        <is>
          <t>Estado cliente</t>
        </is>
      </c>
      <c r="L1" s="6" t="inlineStr">
        <is>
          <t>Riesgo</t>
        </is>
      </c>
      <c r="M1" s="6" t="inlineStr">
        <is>
          <t>Motivo pérdida</t>
        </is>
      </c>
    </row>
    <row r="2">
      <c r="A2" t="inlineStr">
        <is>
          <t>Fecha de hoy</t>
        </is>
      </c>
      <c r="B2" s="18">
        <f>TODAY()</f>
        <v/>
      </c>
      <c r="D2" s="19" t="inlineStr">
        <is>
          <t>Básico</t>
        </is>
      </c>
      <c r="E2" s="19" t="inlineStr">
        <is>
          <t>Pyme comercio</t>
        </is>
      </c>
      <c r="F2" s="19" t="inlineStr">
        <is>
          <t>Referido</t>
        </is>
      </c>
      <c r="G2" s="19" t="inlineStr">
        <is>
          <t>1 Prospecto</t>
        </is>
      </c>
      <c r="H2" s="19" t="inlineStr">
        <is>
          <t>IVA</t>
        </is>
      </c>
      <c r="I2" s="19" t="inlineStr">
        <is>
          <t>Pendiente</t>
        </is>
      </c>
      <c r="J2" s="19" t="inlineStr">
        <is>
          <t>Contabilidad</t>
        </is>
      </c>
      <c r="K2" s="19" t="inlineStr">
        <is>
          <t>Activo</t>
        </is>
      </c>
      <c r="L2" s="19" t="inlineStr">
        <is>
          <t>Bajo</t>
        </is>
      </c>
      <c r="M2" s="19" t="inlineStr">
        <is>
          <t>Precio</t>
        </is>
      </c>
    </row>
    <row r="3">
      <c r="D3" s="19" t="inlineStr">
        <is>
          <t>Empresa</t>
        </is>
      </c>
      <c r="E3" s="19" t="inlineStr">
        <is>
          <t>Pyme servicios</t>
        </is>
      </c>
      <c r="F3" s="19" t="inlineStr">
        <is>
          <t>Red personal</t>
        </is>
      </c>
      <c r="G3" s="19" t="inlineStr">
        <is>
          <t>2 Contactado</t>
        </is>
      </c>
      <c r="H3" s="19" t="inlineStr">
        <is>
          <t>Retención en la fuente</t>
        </is>
      </c>
      <c r="I3" s="19" t="inlineStr">
        <is>
          <t>En preparación</t>
        </is>
      </c>
      <c r="J3" s="19" t="inlineStr">
        <is>
          <t>Tributario</t>
        </is>
      </c>
      <c r="K3" s="19" t="inlineStr">
        <is>
          <t>Suspendido</t>
        </is>
      </c>
      <c r="L3" s="19" t="inlineStr">
        <is>
          <t>Medio</t>
        </is>
      </c>
      <c r="M3" s="19" t="inlineStr">
        <is>
          <t>Ya tiene contador</t>
        </is>
      </c>
    </row>
    <row r="4">
      <c r="A4" s="6" t="inlineStr">
        <is>
          <t>Plan</t>
        </is>
      </c>
      <c r="B4" s="6" t="inlineStr">
        <is>
          <t>Precio mensual</t>
        </is>
      </c>
      <c r="D4" s="19" t="inlineStr">
        <is>
          <t>Crecimiento</t>
        </is>
      </c>
      <c r="E4" s="19" t="inlineStr">
        <is>
          <t>Emprendedor digital</t>
        </is>
      </c>
      <c r="F4" s="19" t="inlineStr">
        <is>
          <t>Google</t>
        </is>
      </c>
      <c r="G4" s="19" t="inlineStr">
        <is>
          <t>3 Diagnóstico agendado</t>
        </is>
      </c>
      <c r="H4" s="19" t="inlineStr">
        <is>
          <t>Renta PJ</t>
        </is>
      </c>
      <c r="I4" s="19" t="inlineStr">
        <is>
          <t>Enviada al cliente</t>
        </is>
      </c>
      <c r="J4" s="19" t="inlineStr">
        <is>
          <t>Nómina</t>
        </is>
      </c>
      <c r="K4" s="19" t="inlineStr">
        <is>
          <t>Retirado</t>
        </is>
      </c>
      <c r="L4" s="19" t="inlineStr">
        <is>
          <t>Alto</t>
        </is>
      </c>
      <c r="M4" s="19" t="inlineStr">
        <is>
          <t>Sin respuesta</t>
        </is>
      </c>
    </row>
    <row r="5">
      <c r="A5" t="inlineStr">
        <is>
          <t>Básico</t>
        </is>
      </c>
      <c r="B5" s="20" t="n">
        <v>450000</v>
      </c>
      <c r="D5" s="19" t="inlineStr">
        <is>
          <t>CFO fraccional</t>
        </is>
      </c>
      <c r="E5" s="19" t="inlineStr">
        <is>
          <t>Persona natural</t>
        </is>
      </c>
      <c r="F5" s="19" t="inlineStr">
        <is>
          <t>WhatsApp</t>
        </is>
      </c>
      <c r="G5" s="19" t="inlineStr">
        <is>
          <t>4 Diagnóstico entregado</t>
        </is>
      </c>
      <c r="H5" s="19" t="inlineStr">
        <is>
          <t>Renta PN</t>
        </is>
      </c>
      <c r="I5" s="19" t="inlineStr">
        <is>
          <t>Aprobada</t>
        </is>
      </c>
      <c r="J5" s="19" t="inlineStr">
        <is>
          <t>Informe / reunión</t>
        </is>
      </c>
      <c r="M5" s="19" t="inlineStr">
        <is>
          <t>No es el momento</t>
        </is>
      </c>
    </row>
    <row r="6">
      <c r="A6" t="inlineStr">
        <is>
          <t>Empresa</t>
        </is>
      </c>
      <c r="B6" s="20" t="n">
        <v>750000</v>
      </c>
      <c r="D6" s="19" t="inlineStr">
        <is>
          <t>Renta PN</t>
        </is>
      </c>
      <c r="E6" s="19" t="inlineStr">
        <is>
          <t>Agro / ganadero</t>
        </is>
      </c>
      <c r="F6" s="19" t="inlineStr">
        <is>
          <t>LinkedIn</t>
        </is>
      </c>
      <c r="G6" s="19" t="inlineStr">
        <is>
          <t>5 Propuesta enviada</t>
        </is>
      </c>
      <c r="H6" s="19" t="inlineStr">
        <is>
          <t>SIMPLE anticipo</t>
        </is>
      </c>
      <c r="I6" s="19" t="inlineStr">
        <is>
          <t>Presentada</t>
        </is>
      </c>
      <c r="J6" s="19" t="inlineStr">
        <is>
          <t>Diagnóstico</t>
        </is>
      </c>
      <c r="M6" s="19" t="inlineStr">
        <is>
          <t>Competencia</t>
        </is>
      </c>
    </row>
    <row r="7">
      <c r="A7" t="inlineStr">
        <is>
          <t>Crecimiento</t>
        </is>
      </c>
      <c r="B7" s="20" t="n">
        <v>1100000</v>
      </c>
      <c r="D7" s="19" t="inlineStr">
        <is>
          <t>Proyecto</t>
        </is>
      </c>
      <c r="E7" s="19" t="inlineStr">
        <is>
          <t>Otro</t>
        </is>
      </c>
      <c r="F7" s="19" t="inlineStr">
        <is>
          <t>Alianza</t>
        </is>
      </c>
      <c r="G7" s="19" t="inlineStr">
        <is>
          <t>6 Negociación</t>
        </is>
      </c>
      <c r="H7" s="19" t="inlineStr">
        <is>
          <t>SIMPLE anual</t>
        </is>
      </c>
      <c r="J7" s="19" t="inlineStr">
        <is>
          <t>Comercial</t>
        </is>
      </c>
      <c r="M7" s="19" t="inlineStr">
        <is>
          <t>No califica</t>
        </is>
      </c>
    </row>
    <row r="8">
      <c r="A8" t="inlineStr">
        <is>
          <t>CFO fraccional</t>
        </is>
      </c>
      <c r="B8" s="20" t="n">
        <v>2200000</v>
      </c>
      <c r="F8" s="19" t="inlineStr">
        <is>
          <t>Charla / taller</t>
        </is>
      </c>
      <c r="G8" s="19" t="inlineStr">
        <is>
          <t>7 Ganado</t>
        </is>
      </c>
      <c r="H8" s="19" t="inlineStr">
        <is>
          <t>ICA</t>
        </is>
      </c>
      <c r="J8" s="19" t="inlineStr">
        <is>
          <t>Administrativo</t>
        </is>
      </c>
    </row>
    <row r="9">
      <c r="A9" t="inlineStr">
        <is>
          <t>Renta PN</t>
        </is>
      </c>
      <c r="B9" s="20" t="n">
        <v>250000</v>
      </c>
      <c r="F9" s="19" t="inlineStr">
        <is>
          <t>Pauta</t>
        </is>
      </c>
      <c r="G9" s="19" t="inlineStr">
        <is>
          <t>8 Perdido</t>
        </is>
      </c>
      <c r="H9" s="19" t="inlineStr">
        <is>
          <t>Exógena</t>
        </is>
      </c>
    </row>
    <row r="10">
      <c r="A10" t="inlineStr">
        <is>
          <t>Proyecto</t>
        </is>
      </c>
      <c r="B10" s="20" t="n">
        <v>0</v>
      </c>
      <c r="H10" s="19" t="inlineStr">
        <is>
          <t>Nómina electrónica</t>
        </is>
      </c>
    </row>
    <row r="11">
      <c r="H11" s="19" t="inlineStr">
        <is>
          <t>PILA</t>
        </is>
      </c>
    </row>
    <row r="12">
      <c r="H12" s="19" t="inlineStr">
        <is>
          <t>Estados financieros</t>
        </is>
      </c>
    </row>
    <row r="13">
      <c r="A13" s="6" t="inlineStr">
        <is>
          <t>Meta</t>
        </is>
      </c>
      <c r="B13" s="6" t="inlineStr">
        <is>
          <t>Valor</t>
        </is>
      </c>
      <c r="H13" s="19" t="inlineStr">
        <is>
          <t>Renovación matrícula mercantil</t>
        </is>
      </c>
    </row>
    <row r="14">
      <c r="A14" t="inlineStr">
        <is>
          <t>MRR meta (COP/mes)</t>
        </is>
      </c>
      <c r="B14" s="20" t="n">
        <v>15000000</v>
      </c>
      <c r="H14" s="19" t="inlineStr">
        <is>
          <t>Otra</t>
        </is>
      </c>
    </row>
    <row r="15">
      <c r="A15" t="inlineStr">
        <is>
          <t>Clientes nuevos / mes</t>
        </is>
      </c>
      <c r="B15" s="21" t="n">
        <v>3</v>
      </c>
    </row>
    <row r="16">
      <c r="A16" t="inlineStr">
        <is>
          <t>Tasa de cierre mínima</t>
        </is>
      </c>
      <c r="B16" s="22" t="n">
        <v>0.3</v>
      </c>
    </row>
    <row r="17">
      <c r="A17" t="inlineStr">
        <is>
          <t>Cartera &gt; 30 días máx. (% del MRR)</t>
        </is>
      </c>
      <c r="B17" s="22" t="n">
        <v>0.05</v>
      </c>
    </row>
    <row r="18">
      <c r="A18" t="inlineStr">
        <is>
          <t>Ingreso por hora mínimo</t>
        </is>
      </c>
      <c r="B18" s="20" t="n">
        <v>80000</v>
      </c>
    </row>
    <row r="19">
      <c r="A19" t="inlineStr">
        <is>
          <t>Concentración máx. por cliente</t>
        </is>
      </c>
      <c r="B19" s="22" t="n">
        <v>0.2</v>
      </c>
    </row>
    <row r="20">
      <c r="A20" t="inlineStr">
        <is>
          <t>Horas facturables disponibles / mes</t>
        </is>
      </c>
      <c r="B20" s="21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14" customWidth="1" min="4" max="4"/>
    <col width="22" customWidth="1" min="5" max="5"/>
    <col width="22" customWidth="1" min="6" max="6"/>
    <col width="15" customWidth="1" min="7" max="7"/>
    <col width="14" customWidth="1" min="8" max="8"/>
    <col width="30" customWidth="1" min="9" max="9"/>
    <col width="13" customWidth="1" min="10" max="10"/>
    <col width="12" customWidth="1" min="11" max="11"/>
    <col width="18" customWidth="1" min="12" max="12"/>
    <col width="9" customWidth="1" min="13" max="13"/>
  </cols>
  <sheetData>
    <row r="1" ht="32" customHeight="1">
      <c r="A1" s="23" t="inlineStr">
        <is>
          <t>Fecha</t>
        </is>
      </c>
      <c r="B1" s="23" t="inlineStr">
        <is>
          <t>Prospecto</t>
        </is>
      </c>
      <c r="C1" s="23" t="inlineStr">
        <is>
          <t>Segmento</t>
        </is>
      </c>
      <c r="D1" s="23" t="inlineStr">
        <is>
          <t>Canal</t>
        </is>
      </c>
      <c r="E1" s="23" t="inlineStr">
        <is>
          <t>Contacto (tel/correo)</t>
        </is>
      </c>
      <c r="F1" s="23" t="inlineStr">
        <is>
          <t>Etapa</t>
        </is>
      </c>
      <c r="G1" s="23" t="inlineStr">
        <is>
          <t>Plan propuesto</t>
        </is>
      </c>
      <c r="H1" s="23" t="inlineStr">
        <is>
          <t>Valor mensual</t>
        </is>
      </c>
      <c r="I1" s="23" t="inlineStr">
        <is>
          <t>Próximo paso</t>
        </is>
      </c>
      <c r="J1" s="23" t="inlineStr">
        <is>
          <t>Fecha próximo paso</t>
        </is>
      </c>
      <c r="K1" s="23" t="inlineStr">
        <is>
          <t>Alerta</t>
        </is>
      </c>
      <c r="L1" s="23" t="inlineStr">
        <is>
          <t>Motivo pérdida</t>
        </is>
      </c>
      <c r="M1" s="23" t="inlineStr">
        <is>
          <t>Abierta (1/0)</t>
        </is>
      </c>
    </row>
    <row r="2">
      <c r="A2" s="17" t="n">
        <v>46296</v>
      </c>
      <c r="B2" s="19" t="inlineStr">
        <is>
          <t>Ferretería El Progreso</t>
        </is>
      </c>
      <c r="C2" s="19" t="inlineStr">
        <is>
          <t>Pyme comercio</t>
        </is>
      </c>
      <c r="D2" s="19" t="inlineStr">
        <is>
          <t>Referido</t>
        </is>
      </c>
      <c r="E2" s="19" t="inlineStr">
        <is>
          <t>300 000 0001</t>
        </is>
      </c>
      <c r="F2" s="19" t="inlineStr">
        <is>
          <t>5 Propuesta enviada</t>
        </is>
      </c>
      <c r="G2" s="19" t="inlineStr">
        <is>
          <t>Crecimiento</t>
        </is>
      </c>
      <c r="H2" s="24">
        <f>IF(G2="","",IFERROR(VLOOKUP(G2,Parametros!$A$5:$B$10,2,FALSE),0))</f>
        <v/>
      </c>
      <c r="I2" s="19" t="inlineStr">
        <is>
          <t>Llamar para resolver dudas</t>
        </is>
      </c>
      <c r="J2" s="17" t="n">
        <v>46315</v>
      </c>
      <c r="K2">
        <f>IF(OR(B2="",F2="7 Ganado",F2="8 Perdido"),"",IF(J2="","SIN FECHA",IF(J2&lt;Parametros!$B$2,"VENCIDO","OK")))</f>
        <v/>
      </c>
      <c r="L2" s="19" t="n"/>
      <c r="M2">
        <f>IF(AND(B2&lt;&gt;"",F2&lt;&gt;"7 Ganado",F2&lt;&gt;"8 Perdido"),1,0)</f>
        <v/>
      </c>
    </row>
    <row r="3">
      <c r="A3" s="17" t="n">
        <v>46297</v>
      </c>
      <c r="B3" s="19" t="inlineStr">
        <is>
          <t>Tienda Online Moda Sinú</t>
        </is>
      </c>
      <c r="C3" s="19" t="inlineStr">
        <is>
          <t>Emprendedor digital</t>
        </is>
      </c>
      <c r="D3" s="19" t="inlineStr">
        <is>
          <t>WhatsApp</t>
        </is>
      </c>
      <c r="E3" s="19" t="inlineStr">
        <is>
          <t>300 000 0002</t>
        </is>
      </c>
      <c r="F3" s="19" t="inlineStr">
        <is>
          <t>3 Diagnóstico agendado</t>
        </is>
      </c>
      <c r="G3" s="19" t="inlineStr">
        <is>
          <t>Básico</t>
        </is>
      </c>
      <c r="H3" s="24">
        <f>IF(G3="","",IFERROR(VLOOKUP(G3,Parametros!$A$5:$B$10,2,FALSE),0))</f>
        <v/>
      </c>
      <c r="I3" s="19" t="inlineStr">
        <is>
          <t>Reunión de diagnóstico</t>
        </is>
      </c>
      <c r="J3" s="17" t="n">
        <v>46312</v>
      </c>
      <c r="K3">
        <f>IF(OR(B3="",F3="7 Ganado",F3="8 Perdido"),"",IF(J3="","SIN FECHA",IF(J3&lt;Parametros!$B$2,"VENCIDO","OK")))</f>
        <v/>
      </c>
      <c r="L3" s="19" t="n"/>
      <c r="M3">
        <f>IF(AND(B3&lt;&gt;"",F3&lt;&gt;"7 Ganado",F3&lt;&gt;"8 Perdido"),1,0)</f>
        <v/>
      </c>
    </row>
    <row r="4">
      <c r="A4" s="17" t="n">
        <v>46298</v>
      </c>
      <c r="B4" s="19" t="inlineStr">
        <is>
          <t>Transportes del Caribe SAS</t>
        </is>
      </c>
      <c r="C4" s="19" t="inlineStr">
        <is>
          <t>Pyme servicios</t>
        </is>
      </c>
      <c r="D4" s="19" t="inlineStr">
        <is>
          <t>Alianza</t>
        </is>
      </c>
      <c r="E4" s="19" t="inlineStr">
        <is>
          <t>300 000 0003</t>
        </is>
      </c>
      <c r="F4" s="19" t="inlineStr">
        <is>
          <t>2 Contactado</t>
        </is>
      </c>
      <c r="G4" s="19" t="inlineStr">
        <is>
          <t>Empresa</t>
        </is>
      </c>
      <c r="H4" s="24">
        <f>IF(G4="","",IFERROR(VLOOKUP(G4,Parametros!$A$5:$B$10,2,FALSE),0))</f>
        <v/>
      </c>
      <c r="I4" s="19" t="inlineStr">
        <is>
          <t>Enviar mensaje de seguimiento</t>
        </is>
      </c>
      <c r="J4" s="17" t="n">
        <v>46305</v>
      </c>
      <c r="K4">
        <f>IF(OR(B4="",F4="7 Ganado",F4="8 Perdido"),"",IF(J4="","SIN FECHA",IF(J4&lt;Parametros!$B$2,"VENCIDO","OK")))</f>
        <v/>
      </c>
      <c r="L4" s="19" t="n"/>
      <c r="M4">
        <f>IF(AND(B4&lt;&gt;"",F4&lt;&gt;"7 Ganado",F4&lt;&gt;"8 Perdido"),1,0)</f>
        <v/>
      </c>
    </row>
    <row r="5">
      <c r="A5" s="17" t="n">
        <v>46285</v>
      </c>
      <c r="B5" s="19" t="inlineStr">
        <is>
          <t>Restaurante La Ribera</t>
        </is>
      </c>
      <c r="C5" s="19" t="inlineStr">
        <is>
          <t>Pyme servicios</t>
        </is>
      </c>
      <c r="D5" s="19" t="inlineStr">
        <is>
          <t>Red personal</t>
        </is>
      </c>
      <c r="E5" s="19" t="inlineStr">
        <is>
          <t>300 000 0004</t>
        </is>
      </c>
      <c r="F5" s="19" t="inlineStr">
        <is>
          <t>7 Ganado</t>
        </is>
      </c>
      <c r="G5" s="19" t="inlineStr">
        <is>
          <t>Empresa</t>
        </is>
      </c>
      <c r="H5" s="24">
        <f>IF(G5="","",IFERROR(VLOOKUP(G5,Parametros!$A$5:$B$10,2,FALSE),0))</f>
        <v/>
      </c>
      <c r="I5" s="19" t="n"/>
      <c r="J5" s="17" t="n"/>
      <c r="K5">
        <f>IF(OR(B5="",F5="7 Ganado",F5="8 Perdido"),"",IF(J5="","SIN FECHA",IF(J5&lt;Parametros!$B$2,"VENCIDO","OK")))</f>
        <v/>
      </c>
      <c r="L5" s="19" t="n"/>
      <c r="M5">
        <f>IF(AND(B5&lt;&gt;"",F5&lt;&gt;"7 Ganado",F5&lt;&gt;"8 Perdido"),1,0)</f>
        <v/>
      </c>
    </row>
    <row r="6">
      <c r="A6" s="17" t="n">
        <v>46287</v>
      </c>
      <c r="B6" s="19" t="inlineStr">
        <is>
          <t>Distribuidora Andina</t>
        </is>
      </c>
      <c r="C6" s="19" t="inlineStr">
        <is>
          <t>Pyme comercio</t>
        </is>
      </c>
      <c r="D6" s="19" t="inlineStr">
        <is>
          <t>Google</t>
        </is>
      </c>
      <c r="E6" s="19" t="inlineStr">
        <is>
          <t>300 000 0005</t>
        </is>
      </c>
      <c r="F6" s="19" t="inlineStr">
        <is>
          <t>8 Perdido</t>
        </is>
      </c>
      <c r="G6" s="19" t="inlineStr">
        <is>
          <t>Empresa</t>
        </is>
      </c>
      <c r="H6" s="24">
        <f>IF(G6="","",IFERROR(VLOOKUP(G6,Parametros!$A$5:$B$10,2,FALSE),0))</f>
        <v/>
      </c>
      <c r="I6" s="19" t="n"/>
      <c r="J6" s="17" t="n"/>
      <c r="K6">
        <f>IF(OR(B6="",F6="7 Ganado",F6="8 Perdido"),"",IF(J6="","SIN FECHA",IF(J6&lt;Parametros!$B$2,"VENCIDO","OK")))</f>
        <v/>
      </c>
      <c r="L6" s="19" t="inlineStr">
        <is>
          <t>Precio</t>
        </is>
      </c>
      <c r="M6">
        <f>IF(AND(B6&lt;&gt;"",F6&lt;&gt;"7 Ganado",F6&lt;&gt;"8 Perdido"),1,0)</f>
        <v/>
      </c>
    </row>
    <row r="7">
      <c r="A7" s="17" t="n">
        <v>46300</v>
      </c>
      <c r="B7" s="19" t="inlineStr">
        <is>
          <t>Hacienda Los Robles</t>
        </is>
      </c>
      <c r="C7" s="19" t="inlineStr">
        <is>
          <t>Agro / ganadero</t>
        </is>
      </c>
      <c r="D7" s="19" t="inlineStr">
        <is>
          <t>Red personal</t>
        </is>
      </c>
      <c r="E7" s="19" t="inlineStr">
        <is>
          <t>300 000 0006</t>
        </is>
      </c>
      <c r="F7" s="19" t="inlineStr">
        <is>
          <t>4 Diagnóstico entregado</t>
        </is>
      </c>
      <c r="G7" s="19" t="inlineStr">
        <is>
          <t>CFO fraccional</t>
        </is>
      </c>
      <c r="H7" s="24">
        <f>IF(G7="","",IFERROR(VLOOKUP(G7,Parametros!$A$5:$B$10,2,FALSE),0))</f>
        <v/>
      </c>
      <c r="I7" s="19" t="inlineStr">
        <is>
          <t>Presentar propuesta</t>
        </is>
      </c>
      <c r="J7" s="17" t="n">
        <v>46316</v>
      </c>
      <c r="K7">
        <f>IF(OR(B7="",F7="7 Ganado",F7="8 Perdido"),"",IF(J7="","SIN FECHA",IF(J7&lt;Parametros!$B$2,"VENCIDO","OK")))</f>
        <v/>
      </c>
      <c r="L7" s="19" t="n"/>
      <c r="M7">
        <f>IF(AND(B7&lt;&gt;"",F7&lt;&gt;"7 Ganado",F7&lt;&gt;"8 Perdido"),1,0)</f>
        <v/>
      </c>
    </row>
    <row r="8">
      <c r="A8" s="17" t="n"/>
      <c r="B8" s="19" t="n"/>
      <c r="C8" s="19" t="n"/>
      <c r="D8" s="19" t="n"/>
      <c r="E8" s="19" t="n"/>
      <c r="F8" s="19" t="n"/>
      <c r="G8" s="19" t="n"/>
      <c r="H8" s="24">
        <f>IF(G8="","",IFERROR(VLOOKUP(G8,Parametros!$A$5:$B$10,2,FALSE),0))</f>
        <v/>
      </c>
      <c r="I8" s="19" t="n"/>
      <c r="J8" s="17" t="n"/>
      <c r="K8">
        <f>IF(OR(B8="",F8="7 Ganado",F8="8 Perdido"),"",IF(J8="","SIN FECHA",IF(J8&lt;Parametros!$B$2,"VENCIDO","OK")))</f>
        <v/>
      </c>
      <c r="L8" s="19" t="n"/>
      <c r="M8">
        <f>IF(AND(B8&lt;&gt;"",F8&lt;&gt;"7 Ganado",F8&lt;&gt;"8 Perdido"),1,0)</f>
        <v/>
      </c>
    </row>
    <row r="9">
      <c r="A9" s="17" t="n"/>
      <c r="B9" s="19" t="n"/>
      <c r="C9" s="19" t="n"/>
      <c r="D9" s="19" t="n"/>
      <c r="E9" s="19" t="n"/>
      <c r="F9" s="19" t="n"/>
      <c r="G9" s="19" t="n"/>
      <c r="H9" s="24">
        <f>IF(G9="","",IFERROR(VLOOKUP(G9,Parametros!$A$5:$B$10,2,FALSE),0))</f>
        <v/>
      </c>
      <c r="I9" s="19" t="n"/>
      <c r="J9" s="17" t="n"/>
      <c r="K9">
        <f>IF(OR(B9="",F9="7 Ganado",F9="8 Perdido"),"",IF(J9="","SIN FECHA",IF(J9&lt;Parametros!$B$2,"VENCIDO","OK")))</f>
        <v/>
      </c>
      <c r="L9" s="19" t="n"/>
      <c r="M9">
        <f>IF(AND(B9&lt;&gt;"",F9&lt;&gt;"7 Ganado",F9&lt;&gt;"8 Perdido"),1,0)</f>
        <v/>
      </c>
    </row>
    <row r="10">
      <c r="A10" s="17" t="n"/>
      <c r="B10" s="19" t="n"/>
      <c r="C10" s="19" t="n"/>
      <c r="D10" s="19" t="n"/>
      <c r="E10" s="19" t="n"/>
      <c r="F10" s="19" t="n"/>
      <c r="G10" s="19" t="n"/>
      <c r="H10" s="24">
        <f>IF(G10="","",IFERROR(VLOOKUP(G10,Parametros!$A$5:$B$10,2,FALSE),0))</f>
        <v/>
      </c>
      <c r="I10" s="19" t="n"/>
      <c r="J10" s="17" t="n"/>
      <c r="K10">
        <f>IF(OR(B10="",F10="7 Ganado",F10="8 Perdido"),"",IF(J10="","SIN FECHA",IF(J10&lt;Parametros!$B$2,"VENCIDO","OK")))</f>
        <v/>
      </c>
      <c r="L10" s="19" t="n"/>
      <c r="M10">
        <f>IF(AND(B10&lt;&gt;"",F10&lt;&gt;"7 Ganado",F10&lt;&gt;"8 Perdido"),1,0)</f>
        <v/>
      </c>
    </row>
    <row r="11">
      <c r="A11" s="17" t="n"/>
      <c r="B11" s="19" t="n"/>
      <c r="C11" s="19" t="n"/>
      <c r="D11" s="19" t="n"/>
      <c r="E11" s="19" t="n"/>
      <c r="F11" s="19" t="n"/>
      <c r="G11" s="19" t="n"/>
      <c r="H11" s="24">
        <f>IF(G11="","",IFERROR(VLOOKUP(G11,Parametros!$A$5:$B$10,2,FALSE),0))</f>
        <v/>
      </c>
      <c r="I11" s="19" t="n"/>
      <c r="J11" s="17" t="n"/>
      <c r="K11">
        <f>IF(OR(B11="",F11="7 Ganado",F11="8 Perdido"),"",IF(J11="","SIN FECHA",IF(J11&lt;Parametros!$B$2,"VENCIDO","OK")))</f>
        <v/>
      </c>
      <c r="L11" s="19" t="n"/>
      <c r="M11">
        <f>IF(AND(B11&lt;&gt;"",F11&lt;&gt;"7 Ganado",F11&lt;&gt;"8 Perdido"),1,0)</f>
        <v/>
      </c>
    </row>
    <row r="12">
      <c r="A12" s="17" t="n"/>
      <c r="B12" s="19" t="n"/>
      <c r="C12" s="19" t="n"/>
      <c r="D12" s="19" t="n"/>
      <c r="E12" s="19" t="n"/>
      <c r="F12" s="19" t="n"/>
      <c r="G12" s="19" t="n"/>
      <c r="H12" s="24">
        <f>IF(G12="","",IFERROR(VLOOKUP(G12,Parametros!$A$5:$B$10,2,FALSE),0))</f>
        <v/>
      </c>
      <c r="I12" s="19" t="n"/>
      <c r="J12" s="17" t="n"/>
      <c r="K12">
        <f>IF(OR(B12="",F12="7 Ganado",F12="8 Perdido"),"",IF(J12="","SIN FECHA",IF(J12&lt;Parametros!$B$2,"VENCIDO","OK")))</f>
        <v/>
      </c>
      <c r="L12" s="19" t="n"/>
      <c r="M12">
        <f>IF(AND(B12&lt;&gt;"",F12&lt;&gt;"7 Ganado",F12&lt;&gt;"8 Perdido"),1,0)</f>
        <v/>
      </c>
    </row>
    <row r="13">
      <c r="A13" s="17" t="n"/>
      <c r="B13" s="19" t="n"/>
      <c r="C13" s="19" t="n"/>
      <c r="D13" s="19" t="n"/>
      <c r="E13" s="19" t="n"/>
      <c r="F13" s="19" t="n"/>
      <c r="G13" s="19" t="n"/>
      <c r="H13" s="24">
        <f>IF(G13="","",IFERROR(VLOOKUP(G13,Parametros!$A$5:$B$10,2,FALSE),0))</f>
        <v/>
      </c>
      <c r="I13" s="19" t="n"/>
      <c r="J13" s="17" t="n"/>
      <c r="K13">
        <f>IF(OR(B13="",F13="7 Ganado",F13="8 Perdido"),"",IF(J13="","SIN FECHA",IF(J13&lt;Parametros!$B$2,"VENCIDO","OK")))</f>
        <v/>
      </c>
      <c r="L13" s="19" t="n"/>
      <c r="M13">
        <f>IF(AND(B13&lt;&gt;"",F13&lt;&gt;"7 Ganado",F13&lt;&gt;"8 Perdido"),1,0)</f>
        <v/>
      </c>
    </row>
    <row r="14">
      <c r="A14" s="17" t="n"/>
      <c r="B14" s="19" t="n"/>
      <c r="C14" s="19" t="n"/>
      <c r="D14" s="19" t="n"/>
      <c r="E14" s="19" t="n"/>
      <c r="F14" s="19" t="n"/>
      <c r="G14" s="19" t="n"/>
      <c r="H14" s="24">
        <f>IF(G14="","",IFERROR(VLOOKUP(G14,Parametros!$A$5:$B$10,2,FALSE),0))</f>
        <v/>
      </c>
      <c r="I14" s="19" t="n"/>
      <c r="J14" s="17" t="n"/>
      <c r="K14">
        <f>IF(OR(B14="",F14="7 Ganado",F14="8 Perdido"),"",IF(J14="","SIN FECHA",IF(J14&lt;Parametros!$B$2,"VENCIDO","OK")))</f>
        <v/>
      </c>
      <c r="L14" s="19" t="n"/>
      <c r="M14">
        <f>IF(AND(B14&lt;&gt;"",F14&lt;&gt;"7 Ganado",F14&lt;&gt;"8 Perdido"),1,0)</f>
        <v/>
      </c>
    </row>
    <row r="15">
      <c r="A15" s="17" t="n"/>
      <c r="B15" s="19" t="n"/>
      <c r="C15" s="19" t="n"/>
      <c r="D15" s="19" t="n"/>
      <c r="E15" s="19" t="n"/>
      <c r="F15" s="19" t="n"/>
      <c r="G15" s="19" t="n"/>
      <c r="H15" s="24">
        <f>IF(G15="","",IFERROR(VLOOKUP(G15,Parametros!$A$5:$B$10,2,FALSE),0))</f>
        <v/>
      </c>
      <c r="I15" s="19" t="n"/>
      <c r="J15" s="17" t="n"/>
      <c r="K15">
        <f>IF(OR(B15="",F15="7 Ganado",F15="8 Perdido"),"",IF(J15="","SIN FECHA",IF(J15&lt;Parametros!$B$2,"VENCIDO","OK")))</f>
        <v/>
      </c>
      <c r="L15" s="19" t="n"/>
      <c r="M15">
        <f>IF(AND(B15&lt;&gt;"",F15&lt;&gt;"7 Ganado",F15&lt;&gt;"8 Perdido"),1,0)</f>
        <v/>
      </c>
    </row>
    <row r="16">
      <c r="A16" s="17" t="n"/>
      <c r="B16" s="19" t="n"/>
      <c r="C16" s="19" t="n"/>
      <c r="D16" s="19" t="n"/>
      <c r="E16" s="19" t="n"/>
      <c r="F16" s="19" t="n"/>
      <c r="G16" s="19" t="n"/>
      <c r="H16" s="24">
        <f>IF(G16="","",IFERROR(VLOOKUP(G16,Parametros!$A$5:$B$10,2,FALSE),0))</f>
        <v/>
      </c>
      <c r="I16" s="19" t="n"/>
      <c r="J16" s="17" t="n"/>
      <c r="K16">
        <f>IF(OR(B16="",F16="7 Ganado",F16="8 Perdido"),"",IF(J16="","SIN FECHA",IF(J16&lt;Parametros!$B$2,"VENCIDO","OK")))</f>
        <v/>
      </c>
      <c r="L16" s="19" t="n"/>
      <c r="M16">
        <f>IF(AND(B16&lt;&gt;"",F16&lt;&gt;"7 Ganado",F16&lt;&gt;"8 Perdido"),1,0)</f>
        <v/>
      </c>
    </row>
    <row r="17">
      <c r="A17" s="17" t="n"/>
      <c r="B17" s="19" t="n"/>
      <c r="C17" s="19" t="n"/>
      <c r="D17" s="19" t="n"/>
      <c r="E17" s="19" t="n"/>
      <c r="F17" s="19" t="n"/>
      <c r="G17" s="19" t="n"/>
      <c r="H17" s="24">
        <f>IF(G17="","",IFERROR(VLOOKUP(G17,Parametros!$A$5:$B$10,2,FALSE),0))</f>
        <v/>
      </c>
      <c r="I17" s="19" t="n"/>
      <c r="J17" s="17" t="n"/>
      <c r="K17">
        <f>IF(OR(B17="",F17="7 Ganado",F17="8 Perdido"),"",IF(J17="","SIN FECHA",IF(J17&lt;Parametros!$B$2,"VENCIDO","OK")))</f>
        <v/>
      </c>
      <c r="L17" s="19" t="n"/>
      <c r="M17">
        <f>IF(AND(B17&lt;&gt;"",F17&lt;&gt;"7 Ganado",F17&lt;&gt;"8 Perdido"),1,0)</f>
        <v/>
      </c>
    </row>
    <row r="18">
      <c r="A18" s="17" t="n"/>
      <c r="B18" s="19" t="n"/>
      <c r="C18" s="19" t="n"/>
      <c r="D18" s="19" t="n"/>
      <c r="E18" s="19" t="n"/>
      <c r="F18" s="19" t="n"/>
      <c r="G18" s="19" t="n"/>
      <c r="H18" s="24">
        <f>IF(G18="","",IFERROR(VLOOKUP(G18,Parametros!$A$5:$B$10,2,FALSE),0))</f>
        <v/>
      </c>
      <c r="I18" s="19" t="n"/>
      <c r="J18" s="17" t="n"/>
      <c r="K18">
        <f>IF(OR(B18="",F18="7 Ganado",F18="8 Perdido"),"",IF(J18="","SIN FECHA",IF(J18&lt;Parametros!$B$2,"VENCIDO","OK")))</f>
        <v/>
      </c>
      <c r="L18" s="19" t="n"/>
      <c r="M18">
        <f>IF(AND(B18&lt;&gt;"",F18&lt;&gt;"7 Ganado",F18&lt;&gt;"8 Perdido"),1,0)</f>
        <v/>
      </c>
    </row>
    <row r="19">
      <c r="A19" s="17" t="n"/>
      <c r="B19" s="19" t="n"/>
      <c r="C19" s="19" t="n"/>
      <c r="D19" s="19" t="n"/>
      <c r="E19" s="19" t="n"/>
      <c r="F19" s="19" t="n"/>
      <c r="G19" s="19" t="n"/>
      <c r="H19" s="24">
        <f>IF(G19="","",IFERROR(VLOOKUP(G19,Parametros!$A$5:$B$10,2,FALSE),0))</f>
        <v/>
      </c>
      <c r="I19" s="19" t="n"/>
      <c r="J19" s="17" t="n"/>
      <c r="K19">
        <f>IF(OR(B19="",F19="7 Ganado",F19="8 Perdido"),"",IF(J19="","SIN FECHA",IF(J19&lt;Parametros!$B$2,"VENCIDO","OK")))</f>
        <v/>
      </c>
      <c r="L19" s="19" t="n"/>
      <c r="M19">
        <f>IF(AND(B19&lt;&gt;"",F19&lt;&gt;"7 Ganado",F19&lt;&gt;"8 Perdido"),1,0)</f>
        <v/>
      </c>
    </row>
    <row r="20">
      <c r="A20" s="17" t="n"/>
      <c r="B20" s="19" t="n"/>
      <c r="C20" s="19" t="n"/>
      <c r="D20" s="19" t="n"/>
      <c r="E20" s="19" t="n"/>
      <c r="F20" s="19" t="n"/>
      <c r="G20" s="19" t="n"/>
      <c r="H20" s="24">
        <f>IF(G20="","",IFERROR(VLOOKUP(G20,Parametros!$A$5:$B$10,2,FALSE),0))</f>
        <v/>
      </c>
      <c r="I20" s="19" t="n"/>
      <c r="J20" s="17" t="n"/>
      <c r="K20">
        <f>IF(OR(B20="",F20="7 Ganado",F20="8 Perdido"),"",IF(J20="","SIN FECHA",IF(J20&lt;Parametros!$B$2,"VENCIDO","OK")))</f>
        <v/>
      </c>
      <c r="L20" s="19" t="n"/>
      <c r="M20">
        <f>IF(AND(B20&lt;&gt;"",F20&lt;&gt;"7 Ganado",F20&lt;&gt;"8 Perdido"),1,0)</f>
        <v/>
      </c>
    </row>
    <row r="21">
      <c r="A21" s="17" t="n"/>
      <c r="B21" s="19" t="n"/>
      <c r="C21" s="19" t="n"/>
      <c r="D21" s="19" t="n"/>
      <c r="E21" s="19" t="n"/>
      <c r="F21" s="19" t="n"/>
      <c r="G21" s="19" t="n"/>
      <c r="H21" s="24">
        <f>IF(G21="","",IFERROR(VLOOKUP(G21,Parametros!$A$5:$B$10,2,FALSE),0))</f>
        <v/>
      </c>
      <c r="I21" s="19" t="n"/>
      <c r="J21" s="17" t="n"/>
      <c r="K21">
        <f>IF(OR(B21="",F21="7 Ganado",F21="8 Perdido"),"",IF(J21="","SIN FECHA",IF(J21&lt;Parametros!$B$2,"VENCIDO","OK")))</f>
        <v/>
      </c>
      <c r="L21" s="19" t="n"/>
      <c r="M21">
        <f>IF(AND(B21&lt;&gt;"",F21&lt;&gt;"7 Ganado",F21&lt;&gt;"8 Perdido"),1,0)</f>
        <v/>
      </c>
    </row>
    <row r="22">
      <c r="A22" s="17" t="n"/>
      <c r="B22" s="19" t="n"/>
      <c r="C22" s="19" t="n"/>
      <c r="D22" s="19" t="n"/>
      <c r="E22" s="19" t="n"/>
      <c r="F22" s="19" t="n"/>
      <c r="G22" s="19" t="n"/>
      <c r="H22" s="24">
        <f>IF(G22="","",IFERROR(VLOOKUP(G22,Parametros!$A$5:$B$10,2,FALSE),0))</f>
        <v/>
      </c>
      <c r="I22" s="19" t="n"/>
      <c r="J22" s="17" t="n"/>
      <c r="K22">
        <f>IF(OR(B22="",F22="7 Ganado",F22="8 Perdido"),"",IF(J22="","SIN FECHA",IF(J22&lt;Parametros!$B$2,"VENCIDO","OK")))</f>
        <v/>
      </c>
      <c r="L22" s="19" t="n"/>
      <c r="M22">
        <f>IF(AND(B22&lt;&gt;"",F22&lt;&gt;"7 Ganado",F22&lt;&gt;"8 Perdido"),1,0)</f>
        <v/>
      </c>
    </row>
    <row r="23">
      <c r="A23" s="17" t="n"/>
      <c r="B23" s="19" t="n"/>
      <c r="C23" s="19" t="n"/>
      <c r="D23" s="19" t="n"/>
      <c r="E23" s="19" t="n"/>
      <c r="F23" s="19" t="n"/>
      <c r="G23" s="19" t="n"/>
      <c r="H23" s="24">
        <f>IF(G23="","",IFERROR(VLOOKUP(G23,Parametros!$A$5:$B$10,2,FALSE),0))</f>
        <v/>
      </c>
      <c r="I23" s="19" t="n"/>
      <c r="J23" s="17" t="n"/>
      <c r="K23">
        <f>IF(OR(B23="",F23="7 Ganado",F23="8 Perdido"),"",IF(J23="","SIN FECHA",IF(J23&lt;Parametros!$B$2,"VENCIDO","OK")))</f>
        <v/>
      </c>
      <c r="L23" s="19" t="n"/>
      <c r="M23">
        <f>IF(AND(B23&lt;&gt;"",F23&lt;&gt;"7 Ganado",F23&lt;&gt;"8 Perdido"),1,0)</f>
        <v/>
      </c>
    </row>
    <row r="24">
      <c r="A24" s="17" t="n"/>
      <c r="B24" s="19" t="n"/>
      <c r="C24" s="19" t="n"/>
      <c r="D24" s="19" t="n"/>
      <c r="E24" s="19" t="n"/>
      <c r="F24" s="19" t="n"/>
      <c r="G24" s="19" t="n"/>
      <c r="H24" s="24">
        <f>IF(G24="","",IFERROR(VLOOKUP(G24,Parametros!$A$5:$B$10,2,FALSE),0))</f>
        <v/>
      </c>
      <c r="I24" s="19" t="n"/>
      <c r="J24" s="17" t="n"/>
      <c r="K24">
        <f>IF(OR(B24="",F24="7 Ganado",F24="8 Perdido"),"",IF(J24="","SIN FECHA",IF(J24&lt;Parametros!$B$2,"VENCIDO","OK")))</f>
        <v/>
      </c>
      <c r="L24" s="19" t="n"/>
      <c r="M24">
        <f>IF(AND(B24&lt;&gt;"",F24&lt;&gt;"7 Ganado",F24&lt;&gt;"8 Perdido"),1,0)</f>
        <v/>
      </c>
    </row>
    <row r="25">
      <c r="A25" s="17" t="n"/>
      <c r="B25" s="19" t="n"/>
      <c r="C25" s="19" t="n"/>
      <c r="D25" s="19" t="n"/>
      <c r="E25" s="19" t="n"/>
      <c r="F25" s="19" t="n"/>
      <c r="G25" s="19" t="n"/>
      <c r="H25" s="24">
        <f>IF(G25="","",IFERROR(VLOOKUP(G25,Parametros!$A$5:$B$10,2,FALSE),0))</f>
        <v/>
      </c>
      <c r="I25" s="19" t="n"/>
      <c r="J25" s="17" t="n"/>
      <c r="K25">
        <f>IF(OR(B25="",F25="7 Ganado",F25="8 Perdido"),"",IF(J25="","SIN FECHA",IF(J25&lt;Parametros!$B$2,"VENCIDO","OK")))</f>
        <v/>
      </c>
      <c r="L25" s="19" t="n"/>
      <c r="M25">
        <f>IF(AND(B25&lt;&gt;"",F25&lt;&gt;"7 Ganado",F25&lt;&gt;"8 Perdido"),1,0)</f>
        <v/>
      </c>
    </row>
    <row r="26">
      <c r="A26" s="17" t="n"/>
      <c r="B26" s="19" t="n"/>
      <c r="C26" s="19" t="n"/>
      <c r="D26" s="19" t="n"/>
      <c r="E26" s="19" t="n"/>
      <c r="F26" s="19" t="n"/>
      <c r="G26" s="19" t="n"/>
      <c r="H26" s="24">
        <f>IF(G26="","",IFERROR(VLOOKUP(G26,Parametros!$A$5:$B$10,2,FALSE),0))</f>
        <v/>
      </c>
      <c r="I26" s="19" t="n"/>
      <c r="J26" s="17" t="n"/>
      <c r="K26">
        <f>IF(OR(B26="",F26="7 Ganado",F26="8 Perdido"),"",IF(J26="","SIN FECHA",IF(J26&lt;Parametros!$B$2,"VENCIDO","OK")))</f>
        <v/>
      </c>
      <c r="L26" s="19" t="n"/>
      <c r="M26">
        <f>IF(AND(B26&lt;&gt;"",F26&lt;&gt;"7 Ganado",F26&lt;&gt;"8 Perdido"),1,0)</f>
        <v/>
      </c>
    </row>
    <row r="27">
      <c r="A27" s="17" t="n"/>
      <c r="B27" s="19" t="n"/>
      <c r="C27" s="19" t="n"/>
      <c r="D27" s="19" t="n"/>
      <c r="E27" s="19" t="n"/>
      <c r="F27" s="19" t="n"/>
      <c r="G27" s="19" t="n"/>
      <c r="H27" s="24">
        <f>IF(G27="","",IFERROR(VLOOKUP(G27,Parametros!$A$5:$B$10,2,FALSE),0))</f>
        <v/>
      </c>
      <c r="I27" s="19" t="n"/>
      <c r="J27" s="17" t="n"/>
      <c r="K27">
        <f>IF(OR(B27="",F27="7 Ganado",F27="8 Perdido"),"",IF(J27="","SIN FECHA",IF(J27&lt;Parametros!$B$2,"VENCIDO","OK")))</f>
        <v/>
      </c>
      <c r="L27" s="19" t="n"/>
      <c r="M27">
        <f>IF(AND(B27&lt;&gt;"",F27&lt;&gt;"7 Ganado",F27&lt;&gt;"8 Perdido"),1,0)</f>
        <v/>
      </c>
    </row>
    <row r="28">
      <c r="A28" s="17" t="n"/>
      <c r="B28" s="19" t="n"/>
      <c r="C28" s="19" t="n"/>
      <c r="D28" s="19" t="n"/>
      <c r="E28" s="19" t="n"/>
      <c r="F28" s="19" t="n"/>
      <c r="G28" s="19" t="n"/>
      <c r="H28" s="24">
        <f>IF(G28="","",IFERROR(VLOOKUP(G28,Parametros!$A$5:$B$10,2,FALSE),0))</f>
        <v/>
      </c>
      <c r="I28" s="19" t="n"/>
      <c r="J28" s="17" t="n"/>
      <c r="K28">
        <f>IF(OR(B28="",F28="7 Ganado",F28="8 Perdido"),"",IF(J28="","SIN FECHA",IF(J28&lt;Parametros!$B$2,"VENCIDO","OK")))</f>
        <v/>
      </c>
      <c r="L28" s="19" t="n"/>
      <c r="M28">
        <f>IF(AND(B28&lt;&gt;"",F28&lt;&gt;"7 Ganado",F28&lt;&gt;"8 Perdido"),1,0)</f>
        <v/>
      </c>
    </row>
    <row r="29">
      <c r="A29" s="17" t="n"/>
      <c r="B29" s="19" t="n"/>
      <c r="C29" s="19" t="n"/>
      <c r="D29" s="19" t="n"/>
      <c r="E29" s="19" t="n"/>
      <c r="F29" s="19" t="n"/>
      <c r="G29" s="19" t="n"/>
      <c r="H29" s="24">
        <f>IF(G29="","",IFERROR(VLOOKUP(G29,Parametros!$A$5:$B$10,2,FALSE),0))</f>
        <v/>
      </c>
      <c r="I29" s="19" t="n"/>
      <c r="J29" s="17" t="n"/>
      <c r="K29">
        <f>IF(OR(B29="",F29="7 Ganado",F29="8 Perdido"),"",IF(J29="","SIN FECHA",IF(J29&lt;Parametros!$B$2,"VENCIDO","OK")))</f>
        <v/>
      </c>
      <c r="L29" s="19" t="n"/>
      <c r="M29">
        <f>IF(AND(B29&lt;&gt;"",F29&lt;&gt;"7 Ganado",F29&lt;&gt;"8 Perdido"),1,0)</f>
        <v/>
      </c>
    </row>
    <row r="30">
      <c r="A30" s="17" t="n"/>
      <c r="B30" s="19" t="n"/>
      <c r="C30" s="19" t="n"/>
      <c r="D30" s="19" t="n"/>
      <c r="E30" s="19" t="n"/>
      <c r="F30" s="19" t="n"/>
      <c r="G30" s="19" t="n"/>
      <c r="H30" s="24">
        <f>IF(G30="","",IFERROR(VLOOKUP(G30,Parametros!$A$5:$B$10,2,FALSE),0))</f>
        <v/>
      </c>
      <c r="I30" s="19" t="n"/>
      <c r="J30" s="17" t="n"/>
      <c r="K30">
        <f>IF(OR(B30="",F30="7 Ganado",F30="8 Perdido"),"",IF(J30="","SIN FECHA",IF(J30&lt;Parametros!$B$2,"VENCIDO","OK")))</f>
        <v/>
      </c>
      <c r="L30" s="19" t="n"/>
      <c r="M30">
        <f>IF(AND(B30&lt;&gt;"",F30&lt;&gt;"7 Ganado",F30&lt;&gt;"8 Perdido"),1,0)</f>
        <v/>
      </c>
    </row>
    <row r="31">
      <c r="A31" s="17" t="n"/>
      <c r="B31" s="19" t="n"/>
      <c r="C31" s="19" t="n"/>
      <c r="D31" s="19" t="n"/>
      <c r="E31" s="19" t="n"/>
      <c r="F31" s="19" t="n"/>
      <c r="G31" s="19" t="n"/>
      <c r="H31" s="24">
        <f>IF(G31="","",IFERROR(VLOOKUP(G31,Parametros!$A$5:$B$10,2,FALSE),0))</f>
        <v/>
      </c>
      <c r="I31" s="19" t="n"/>
      <c r="J31" s="17" t="n"/>
      <c r="K31">
        <f>IF(OR(B31="",F31="7 Ganado",F31="8 Perdido"),"",IF(J31="","SIN FECHA",IF(J31&lt;Parametros!$B$2,"VENCIDO","OK")))</f>
        <v/>
      </c>
      <c r="L31" s="19" t="n"/>
      <c r="M31">
        <f>IF(AND(B31&lt;&gt;"",F31&lt;&gt;"7 Ganado",F31&lt;&gt;"8 Perdido"),1,0)</f>
        <v/>
      </c>
    </row>
    <row r="32">
      <c r="A32" s="17" t="n"/>
      <c r="B32" s="19" t="n"/>
      <c r="C32" s="19" t="n"/>
      <c r="D32" s="19" t="n"/>
      <c r="E32" s="19" t="n"/>
      <c r="F32" s="19" t="n"/>
      <c r="G32" s="19" t="n"/>
      <c r="H32" s="24">
        <f>IF(G32="","",IFERROR(VLOOKUP(G32,Parametros!$A$5:$B$10,2,FALSE),0))</f>
        <v/>
      </c>
      <c r="I32" s="19" t="n"/>
      <c r="J32" s="17" t="n"/>
      <c r="K32">
        <f>IF(OR(B32="",F32="7 Ganado",F32="8 Perdido"),"",IF(J32="","SIN FECHA",IF(J32&lt;Parametros!$B$2,"VENCIDO","OK")))</f>
        <v/>
      </c>
      <c r="L32" s="19" t="n"/>
      <c r="M32">
        <f>IF(AND(B32&lt;&gt;"",F32&lt;&gt;"7 Ganado",F32&lt;&gt;"8 Perdido"),1,0)</f>
        <v/>
      </c>
    </row>
    <row r="33">
      <c r="A33" s="17" t="n"/>
      <c r="B33" s="19" t="n"/>
      <c r="C33" s="19" t="n"/>
      <c r="D33" s="19" t="n"/>
      <c r="E33" s="19" t="n"/>
      <c r="F33" s="19" t="n"/>
      <c r="G33" s="19" t="n"/>
      <c r="H33" s="24">
        <f>IF(G33="","",IFERROR(VLOOKUP(G33,Parametros!$A$5:$B$10,2,FALSE),0))</f>
        <v/>
      </c>
      <c r="I33" s="19" t="n"/>
      <c r="J33" s="17" t="n"/>
      <c r="K33">
        <f>IF(OR(B33="",F33="7 Ganado",F33="8 Perdido"),"",IF(J33="","SIN FECHA",IF(J33&lt;Parametros!$B$2,"VENCIDO","OK")))</f>
        <v/>
      </c>
      <c r="L33" s="19" t="n"/>
      <c r="M33">
        <f>IF(AND(B33&lt;&gt;"",F33&lt;&gt;"7 Ganado",F33&lt;&gt;"8 Perdido"),1,0)</f>
        <v/>
      </c>
    </row>
    <row r="34">
      <c r="A34" s="17" t="n"/>
      <c r="B34" s="19" t="n"/>
      <c r="C34" s="19" t="n"/>
      <c r="D34" s="19" t="n"/>
      <c r="E34" s="19" t="n"/>
      <c r="F34" s="19" t="n"/>
      <c r="G34" s="19" t="n"/>
      <c r="H34" s="24">
        <f>IF(G34="","",IFERROR(VLOOKUP(G34,Parametros!$A$5:$B$10,2,FALSE),0))</f>
        <v/>
      </c>
      <c r="I34" s="19" t="n"/>
      <c r="J34" s="17" t="n"/>
      <c r="K34">
        <f>IF(OR(B34="",F34="7 Ganado",F34="8 Perdido"),"",IF(J34="","SIN FECHA",IF(J34&lt;Parametros!$B$2,"VENCIDO","OK")))</f>
        <v/>
      </c>
      <c r="L34" s="19" t="n"/>
      <c r="M34">
        <f>IF(AND(B34&lt;&gt;"",F34&lt;&gt;"7 Ganado",F34&lt;&gt;"8 Perdido"),1,0)</f>
        <v/>
      </c>
    </row>
    <row r="35">
      <c r="A35" s="17" t="n"/>
      <c r="B35" s="19" t="n"/>
      <c r="C35" s="19" t="n"/>
      <c r="D35" s="19" t="n"/>
      <c r="E35" s="19" t="n"/>
      <c r="F35" s="19" t="n"/>
      <c r="G35" s="19" t="n"/>
      <c r="H35" s="24">
        <f>IF(G35="","",IFERROR(VLOOKUP(G35,Parametros!$A$5:$B$10,2,FALSE),0))</f>
        <v/>
      </c>
      <c r="I35" s="19" t="n"/>
      <c r="J35" s="17" t="n"/>
      <c r="K35">
        <f>IF(OR(B35="",F35="7 Ganado",F35="8 Perdido"),"",IF(J35="","SIN FECHA",IF(J35&lt;Parametros!$B$2,"VENCIDO","OK")))</f>
        <v/>
      </c>
      <c r="L35" s="19" t="n"/>
      <c r="M35">
        <f>IF(AND(B35&lt;&gt;"",F35&lt;&gt;"7 Ganado",F35&lt;&gt;"8 Perdido"),1,0)</f>
        <v/>
      </c>
    </row>
    <row r="36">
      <c r="A36" s="17" t="n"/>
      <c r="B36" s="19" t="n"/>
      <c r="C36" s="19" t="n"/>
      <c r="D36" s="19" t="n"/>
      <c r="E36" s="19" t="n"/>
      <c r="F36" s="19" t="n"/>
      <c r="G36" s="19" t="n"/>
      <c r="H36" s="24">
        <f>IF(G36="","",IFERROR(VLOOKUP(G36,Parametros!$A$5:$B$10,2,FALSE),0))</f>
        <v/>
      </c>
      <c r="I36" s="19" t="n"/>
      <c r="J36" s="17" t="n"/>
      <c r="K36">
        <f>IF(OR(B36="",F36="7 Ganado",F36="8 Perdido"),"",IF(J36="","SIN FECHA",IF(J36&lt;Parametros!$B$2,"VENCIDO","OK")))</f>
        <v/>
      </c>
      <c r="L36" s="19" t="n"/>
      <c r="M36">
        <f>IF(AND(B36&lt;&gt;"",F36&lt;&gt;"7 Ganado",F36&lt;&gt;"8 Perdido"),1,0)</f>
        <v/>
      </c>
    </row>
    <row r="37">
      <c r="A37" s="17" t="n"/>
      <c r="B37" s="19" t="n"/>
      <c r="C37" s="19" t="n"/>
      <c r="D37" s="19" t="n"/>
      <c r="E37" s="19" t="n"/>
      <c r="F37" s="19" t="n"/>
      <c r="G37" s="19" t="n"/>
      <c r="H37" s="24">
        <f>IF(G37="","",IFERROR(VLOOKUP(G37,Parametros!$A$5:$B$10,2,FALSE),0))</f>
        <v/>
      </c>
      <c r="I37" s="19" t="n"/>
      <c r="J37" s="17" t="n"/>
      <c r="K37">
        <f>IF(OR(B37="",F37="7 Ganado",F37="8 Perdido"),"",IF(J37="","SIN FECHA",IF(J37&lt;Parametros!$B$2,"VENCIDO","OK")))</f>
        <v/>
      </c>
      <c r="L37" s="19" t="n"/>
      <c r="M37">
        <f>IF(AND(B37&lt;&gt;"",F37&lt;&gt;"7 Ganado",F37&lt;&gt;"8 Perdido"),1,0)</f>
        <v/>
      </c>
    </row>
    <row r="38">
      <c r="A38" s="17" t="n"/>
      <c r="B38" s="19" t="n"/>
      <c r="C38" s="19" t="n"/>
      <c r="D38" s="19" t="n"/>
      <c r="E38" s="19" t="n"/>
      <c r="F38" s="19" t="n"/>
      <c r="G38" s="19" t="n"/>
      <c r="H38" s="24">
        <f>IF(G38="","",IFERROR(VLOOKUP(G38,Parametros!$A$5:$B$10,2,FALSE),0))</f>
        <v/>
      </c>
      <c r="I38" s="19" t="n"/>
      <c r="J38" s="17" t="n"/>
      <c r="K38">
        <f>IF(OR(B38="",F38="7 Ganado",F38="8 Perdido"),"",IF(J38="","SIN FECHA",IF(J38&lt;Parametros!$B$2,"VENCIDO","OK")))</f>
        <v/>
      </c>
      <c r="L38" s="19" t="n"/>
      <c r="M38">
        <f>IF(AND(B38&lt;&gt;"",F38&lt;&gt;"7 Ganado",F38&lt;&gt;"8 Perdido"),1,0)</f>
        <v/>
      </c>
    </row>
    <row r="39">
      <c r="A39" s="17" t="n"/>
      <c r="B39" s="19" t="n"/>
      <c r="C39" s="19" t="n"/>
      <c r="D39" s="19" t="n"/>
      <c r="E39" s="19" t="n"/>
      <c r="F39" s="19" t="n"/>
      <c r="G39" s="19" t="n"/>
      <c r="H39" s="24">
        <f>IF(G39="","",IFERROR(VLOOKUP(G39,Parametros!$A$5:$B$10,2,FALSE),0))</f>
        <v/>
      </c>
      <c r="I39" s="19" t="n"/>
      <c r="J39" s="17" t="n"/>
      <c r="K39">
        <f>IF(OR(B39="",F39="7 Ganado",F39="8 Perdido"),"",IF(J39="","SIN FECHA",IF(J39&lt;Parametros!$B$2,"VENCIDO","OK")))</f>
        <v/>
      </c>
      <c r="L39" s="19" t="n"/>
      <c r="M39">
        <f>IF(AND(B39&lt;&gt;"",F39&lt;&gt;"7 Ganado",F39&lt;&gt;"8 Perdido"),1,0)</f>
        <v/>
      </c>
    </row>
    <row r="40">
      <c r="A40" s="17" t="n"/>
      <c r="B40" s="19" t="n"/>
      <c r="C40" s="19" t="n"/>
      <c r="D40" s="19" t="n"/>
      <c r="E40" s="19" t="n"/>
      <c r="F40" s="19" t="n"/>
      <c r="G40" s="19" t="n"/>
      <c r="H40" s="24">
        <f>IF(G40="","",IFERROR(VLOOKUP(G40,Parametros!$A$5:$B$10,2,FALSE),0))</f>
        <v/>
      </c>
      <c r="I40" s="19" t="n"/>
      <c r="J40" s="17" t="n"/>
      <c r="K40">
        <f>IF(OR(B40="",F40="7 Ganado",F40="8 Perdido"),"",IF(J40="","SIN FECHA",IF(J40&lt;Parametros!$B$2,"VENCIDO","OK")))</f>
        <v/>
      </c>
      <c r="L40" s="19" t="n"/>
      <c r="M40">
        <f>IF(AND(B40&lt;&gt;"",F40&lt;&gt;"7 Ganado",F40&lt;&gt;"8 Perdido"),1,0)</f>
        <v/>
      </c>
    </row>
    <row r="41">
      <c r="A41" s="17" t="n"/>
      <c r="B41" s="19" t="n"/>
      <c r="C41" s="19" t="n"/>
      <c r="D41" s="19" t="n"/>
      <c r="E41" s="19" t="n"/>
      <c r="F41" s="19" t="n"/>
      <c r="G41" s="19" t="n"/>
      <c r="H41" s="24">
        <f>IF(G41="","",IFERROR(VLOOKUP(G41,Parametros!$A$5:$B$10,2,FALSE),0))</f>
        <v/>
      </c>
      <c r="I41" s="19" t="n"/>
      <c r="J41" s="17" t="n"/>
      <c r="K41">
        <f>IF(OR(B41="",F41="7 Ganado",F41="8 Perdido"),"",IF(J41="","SIN FECHA",IF(J41&lt;Parametros!$B$2,"VENCIDO","OK")))</f>
        <v/>
      </c>
      <c r="L41" s="19" t="n"/>
      <c r="M41">
        <f>IF(AND(B41&lt;&gt;"",F41&lt;&gt;"7 Ganado",F41&lt;&gt;"8 Perdido"),1,0)</f>
        <v/>
      </c>
    </row>
    <row r="42">
      <c r="A42" s="17" t="n"/>
      <c r="B42" s="19" t="n"/>
      <c r="C42" s="19" t="n"/>
      <c r="D42" s="19" t="n"/>
      <c r="E42" s="19" t="n"/>
      <c r="F42" s="19" t="n"/>
      <c r="G42" s="19" t="n"/>
      <c r="H42" s="24">
        <f>IF(G42="","",IFERROR(VLOOKUP(G42,Parametros!$A$5:$B$10,2,FALSE),0))</f>
        <v/>
      </c>
      <c r="I42" s="19" t="n"/>
      <c r="J42" s="17" t="n"/>
      <c r="K42">
        <f>IF(OR(B42="",F42="7 Ganado",F42="8 Perdido"),"",IF(J42="","SIN FECHA",IF(J42&lt;Parametros!$B$2,"VENCIDO","OK")))</f>
        <v/>
      </c>
      <c r="L42" s="19" t="n"/>
      <c r="M42">
        <f>IF(AND(B42&lt;&gt;"",F42&lt;&gt;"7 Ganado",F42&lt;&gt;"8 Perdido"),1,0)</f>
        <v/>
      </c>
    </row>
    <row r="43">
      <c r="A43" s="17" t="n"/>
      <c r="B43" s="19" t="n"/>
      <c r="C43" s="19" t="n"/>
      <c r="D43" s="19" t="n"/>
      <c r="E43" s="19" t="n"/>
      <c r="F43" s="19" t="n"/>
      <c r="G43" s="19" t="n"/>
      <c r="H43" s="24">
        <f>IF(G43="","",IFERROR(VLOOKUP(G43,Parametros!$A$5:$B$10,2,FALSE),0))</f>
        <v/>
      </c>
      <c r="I43" s="19" t="n"/>
      <c r="J43" s="17" t="n"/>
      <c r="K43">
        <f>IF(OR(B43="",F43="7 Ganado",F43="8 Perdido"),"",IF(J43="","SIN FECHA",IF(J43&lt;Parametros!$B$2,"VENCIDO","OK")))</f>
        <v/>
      </c>
      <c r="L43" s="19" t="n"/>
      <c r="M43">
        <f>IF(AND(B43&lt;&gt;"",F43&lt;&gt;"7 Ganado",F43&lt;&gt;"8 Perdido"),1,0)</f>
        <v/>
      </c>
    </row>
    <row r="44">
      <c r="A44" s="17" t="n"/>
      <c r="B44" s="19" t="n"/>
      <c r="C44" s="19" t="n"/>
      <c r="D44" s="19" t="n"/>
      <c r="E44" s="19" t="n"/>
      <c r="F44" s="19" t="n"/>
      <c r="G44" s="19" t="n"/>
      <c r="H44" s="24">
        <f>IF(G44="","",IFERROR(VLOOKUP(G44,Parametros!$A$5:$B$10,2,FALSE),0))</f>
        <v/>
      </c>
      <c r="I44" s="19" t="n"/>
      <c r="J44" s="17" t="n"/>
      <c r="K44">
        <f>IF(OR(B44="",F44="7 Ganado",F44="8 Perdido"),"",IF(J44="","SIN FECHA",IF(J44&lt;Parametros!$B$2,"VENCIDO","OK")))</f>
        <v/>
      </c>
      <c r="L44" s="19" t="n"/>
      <c r="M44">
        <f>IF(AND(B44&lt;&gt;"",F44&lt;&gt;"7 Ganado",F44&lt;&gt;"8 Perdido"),1,0)</f>
        <v/>
      </c>
    </row>
    <row r="45">
      <c r="A45" s="17" t="n"/>
      <c r="B45" s="19" t="n"/>
      <c r="C45" s="19" t="n"/>
      <c r="D45" s="19" t="n"/>
      <c r="E45" s="19" t="n"/>
      <c r="F45" s="19" t="n"/>
      <c r="G45" s="19" t="n"/>
      <c r="H45" s="24">
        <f>IF(G45="","",IFERROR(VLOOKUP(G45,Parametros!$A$5:$B$10,2,FALSE),0))</f>
        <v/>
      </c>
      <c r="I45" s="19" t="n"/>
      <c r="J45" s="17" t="n"/>
      <c r="K45">
        <f>IF(OR(B45="",F45="7 Ganado",F45="8 Perdido"),"",IF(J45="","SIN FECHA",IF(J45&lt;Parametros!$B$2,"VENCIDO","OK")))</f>
        <v/>
      </c>
      <c r="L45" s="19" t="n"/>
      <c r="M45">
        <f>IF(AND(B45&lt;&gt;"",F45&lt;&gt;"7 Ganado",F45&lt;&gt;"8 Perdido"),1,0)</f>
        <v/>
      </c>
    </row>
    <row r="46">
      <c r="A46" s="17" t="n"/>
      <c r="B46" s="19" t="n"/>
      <c r="C46" s="19" t="n"/>
      <c r="D46" s="19" t="n"/>
      <c r="E46" s="19" t="n"/>
      <c r="F46" s="19" t="n"/>
      <c r="G46" s="19" t="n"/>
      <c r="H46" s="24">
        <f>IF(G46="","",IFERROR(VLOOKUP(G46,Parametros!$A$5:$B$10,2,FALSE),0))</f>
        <v/>
      </c>
      <c r="I46" s="19" t="n"/>
      <c r="J46" s="17" t="n"/>
      <c r="K46">
        <f>IF(OR(B46="",F46="7 Ganado",F46="8 Perdido"),"",IF(J46="","SIN FECHA",IF(J46&lt;Parametros!$B$2,"VENCIDO","OK")))</f>
        <v/>
      </c>
      <c r="L46" s="19" t="n"/>
      <c r="M46">
        <f>IF(AND(B46&lt;&gt;"",F46&lt;&gt;"7 Ganado",F46&lt;&gt;"8 Perdido"),1,0)</f>
        <v/>
      </c>
    </row>
    <row r="47">
      <c r="A47" s="17" t="n"/>
      <c r="B47" s="19" t="n"/>
      <c r="C47" s="19" t="n"/>
      <c r="D47" s="19" t="n"/>
      <c r="E47" s="19" t="n"/>
      <c r="F47" s="19" t="n"/>
      <c r="G47" s="19" t="n"/>
      <c r="H47" s="24">
        <f>IF(G47="","",IFERROR(VLOOKUP(G47,Parametros!$A$5:$B$10,2,FALSE),0))</f>
        <v/>
      </c>
      <c r="I47" s="19" t="n"/>
      <c r="J47" s="17" t="n"/>
      <c r="K47">
        <f>IF(OR(B47="",F47="7 Ganado",F47="8 Perdido"),"",IF(J47="","SIN FECHA",IF(J47&lt;Parametros!$B$2,"VENCIDO","OK")))</f>
        <v/>
      </c>
      <c r="L47" s="19" t="n"/>
      <c r="M47">
        <f>IF(AND(B47&lt;&gt;"",F47&lt;&gt;"7 Ganado",F47&lt;&gt;"8 Perdido"),1,0)</f>
        <v/>
      </c>
    </row>
    <row r="48">
      <c r="A48" s="17" t="n"/>
      <c r="B48" s="19" t="n"/>
      <c r="C48" s="19" t="n"/>
      <c r="D48" s="19" t="n"/>
      <c r="E48" s="19" t="n"/>
      <c r="F48" s="19" t="n"/>
      <c r="G48" s="19" t="n"/>
      <c r="H48" s="24">
        <f>IF(G48="","",IFERROR(VLOOKUP(G48,Parametros!$A$5:$B$10,2,FALSE),0))</f>
        <v/>
      </c>
      <c r="I48" s="19" t="n"/>
      <c r="J48" s="17" t="n"/>
      <c r="K48">
        <f>IF(OR(B48="",F48="7 Ganado",F48="8 Perdido"),"",IF(J48="","SIN FECHA",IF(J48&lt;Parametros!$B$2,"VENCIDO","OK")))</f>
        <v/>
      </c>
      <c r="L48" s="19" t="n"/>
      <c r="M48">
        <f>IF(AND(B48&lt;&gt;"",F48&lt;&gt;"7 Ganado",F48&lt;&gt;"8 Perdido"),1,0)</f>
        <v/>
      </c>
    </row>
    <row r="49">
      <c r="A49" s="17" t="n"/>
      <c r="B49" s="19" t="n"/>
      <c r="C49" s="19" t="n"/>
      <c r="D49" s="19" t="n"/>
      <c r="E49" s="19" t="n"/>
      <c r="F49" s="19" t="n"/>
      <c r="G49" s="19" t="n"/>
      <c r="H49" s="24">
        <f>IF(G49="","",IFERROR(VLOOKUP(G49,Parametros!$A$5:$B$10,2,FALSE),0))</f>
        <v/>
      </c>
      <c r="I49" s="19" t="n"/>
      <c r="J49" s="17" t="n"/>
      <c r="K49">
        <f>IF(OR(B49="",F49="7 Ganado",F49="8 Perdido"),"",IF(J49="","SIN FECHA",IF(J49&lt;Parametros!$B$2,"VENCIDO","OK")))</f>
        <v/>
      </c>
      <c r="L49" s="19" t="n"/>
      <c r="M49">
        <f>IF(AND(B49&lt;&gt;"",F49&lt;&gt;"7 Ganado",F49&lt;&gt;"8 Perdido"),1,0)</f>
        <v/>
      </c>
    </row>
    <row r="50">
      <c r="A50" s="17" t="n"/>
      <c r="B50" s="19" t="n"/>
      <c r="C50" s="19" t="n"/>
      <c r="D50" s="19" t="n"/>
      <c r="E50" s="19" t="n"/>
      <c r="F50" s="19" t="n"/>
      <c r="G50" s="19" t="n"/>
      <c r="H50" s="24">
        <f>IF(G50="","",IFERROR(VLOOKUP(G50,Parametros!$A$5:$B$10,2,FALSE),0))</f>
        <v/>
      </c>
      <c r="I50" s="19" t="n"/>
      <c r="J50" s="17" t="n"/>
      <c r="K50">
        <f>IF(OR(B50="",F50="7 Ganado",F50="8 Perdido"),"",IF(J50="","SIN FECHA",IF(J50&lt;Parametros!$B$2,"VENCIDO","OK")))</f>
        <v/>
      </c>
      <c r="L50" s="19" t="n"/>
      <c r="M50">
        <f>IF(AND(B50&lt;&gt;"",F50&lt;&gt;"7 Ganado",F50&lt;&gt;"8 Perdido"),1,0)</f>
        <v/>
      </c>
    </row>
    <row r="51">
      <c r="A51" s="17" t="n"/>
      <c r="B51" s="19" t="n"/>
      <c r="C51" s="19" t="n"/>
      <c r="D51" s="19" t="n"/>
      <c r="E51" s="19" t="n"/>
      <c r="F51" s="19" t="n"/>
      <c r="G51" s="19" t="n"/>
      <c r="H51" s="24">
        <f>IF(G51="","",IFERROR(VLOOKUP(G51,Parametros!$A$5:$B$10,2,FALSE),0))</f>
        <v/>
      </c>
      <c r="I51" s="19" t="n"/>
      <c r="J51" s="17" t="n"/>
      <c r="K51">
        <f>IF(OR(B51="",F51="7 Ganado",F51="8 Perdido"),"",IF(J51="","SIN FECHA",IF(J51&lt;Parametros!$B$2,"VENCIDO","OK")))</f>
        <v/>
      </c>
      <c r="L51" s="19" t="n"/>
      <c r="M51">
        <f>IF(AND(B51&lt;&gt;"",F51&lt;&gt;"7 Ganado",F51&lt;&gt;"8 Perdido"),1,0)</f>
        <v/>
      </c>
    </row>
    <row r="52">
      <c r="A52" s="17" t="n"/>
      <c r="B52" s="19" t="n"/>
      <c r="C52" s="19" t="n"/>
      <c r="D52" s="19" t="n"/>
      <c r="E52" s="19" t="n"/>
      <c r="F52" s="19" t="n"/>
      <c r="G52" s="19" t="n"/>
      <c r="H52" s="24">
        <f>IF(G52="","",IFERROR(VLOOKUP(G52,Parametros!$A$5:$B$10,2,FALSE),0))</f>
        <v/>
      </c>
      <c r="I52" s="19" t="n"/>
      <c r="J52" s="17" t="n"/>
      <c r="K52">
        <f>IF(OR(B52="",F52="7 Ganado",F52="8 Perdido"),"",IF(J52="","SIN FECHA",IF(J52&lt;Parametros!$B$2,"VENCIDO","OK")))</f>
        <v/>
      </c>
      <c r="L52" s="19" t="n"/>
      <c r="M52">
        <f>IF(AND(B52&lt;&gt;"",F52&lt;&gt;"7 Ganado",F52&lt;&gt;"8 Perdido"),1,0)</f>
        <v/>
      </c>
    </row>
    <row r="53">
      <c r="A53" s="17" t="n"/>
      <c r="B53" s="19" t="n"/>
      <c r="C53" s="19" t="n"/>
      <c r="D53" s="19" t="n"/>
      <c r="E53" s="19" t="n"/>
      <c r="F53" s="19" t="n"/>
      <c r="G53" s="19" t="n"/>
      <c r="H53" s="24">
        <f>IF(G53="","",IFERROR(VLOOKUP(G53,Parametros!$A$5:$B$10,2,FALSE),0))</f>
        <v/>
      </c>
      <c r="I53" s="19" t="n"/>
      <c r="J53" s="17" t="n"/>
      <c r="K53">
        <f>IF(OR(B53="",F53="7 Ganado",F53="8 Perdido"),"",IF(J53="","SIN FECHA",IF(J53&lt;Parametros!$B$2,"VENCIDO","OK")))</f>
        <v/>
      </c>
      <c r="L53" s="19" t="n"/>
      <c r="M53">
        <f>IF(AND(B53&lt;&gt;"",F53&lt;&gt;"7 Ganado",F53&lt;&gt;"8 Perdido"),1,0)</f>
        <v/>
      </c>
    </row>
    <row r="54">
      <c r="A54" s="17" t="n"/>
      <c r="B54" s="19" t="n"/>
      <c r="C54" s="19" t="n"/>
      <c r="D54" s="19" t="n"/>
      <c r="E54" s="19" t="n"/>
      <c r="F54" s="19" t="n"/>
      <c r="G54" s="19" t="n"/>
      <c r="H54" s="24">
        <f>IF(G54="","",IFERROR(VLOOKUP(G54,Parametros!$A$5:$B$10,2,FALSE),0))</f>
        <v/>
      </c>
      <c r="I54" s="19" t="n"/>
      <c r="J54" s="17" t="n"/>
      <c r="K54">
        <f>IF(OR(B54="",F54="7 Ganado",F54="8 Perdido"),"",IF(J54="","SIN FECHA",IF(J54&lt;Parametros!$B$2,"VENCIDO","OK")))</f>
        <v/>
      </c>
      <c r="L54" s="19" t="n"/>
      <c r="M54">
        <f>IF(AND(B54&lt;&gt;"",F54&lt;&gt;"7 Ganado",F54&lt;&gt;"8 Perdido"),1,0)</f>
        <v/>
      </c>
    </row>
    <row r="55">
      <c r="A55" s="17" t="n"/>
      <c r="B55" s="19" t="n"/>
      <c r="C55" s="19" t="n"/>
      <c r="D55" s="19" t="n"/>
      <c r="E55" s="19" t="n"/>
      <c r="F55" s="19" t="n"/>
      <c r="G55" s="19" t="n"/>
      <c r="H55" s="24">
        <f>IF(G55="","",IFERROR(VLOOKUP(G55,Parametros!$A$5:$B$10,2,FALSE),0))</f>
        <v/>
      </c>
      <c r="I55" s="19" t="n"/>
      <c r="J55" s="17" t="n"/>
      <c r="K55">
        <f>IF(OR(B55="",F55="7 Ganado",F55="8 Perdido"),"",IF(J55="","SIN FECHA",IF(J55&lt;Parametros!$B$2,"VENCIDO","OK")))</f>
        <v/>
      </c>
      <c r="L55" s="19" t="n"/>
      <c r="M55">
        <f>IF(AND(B55&lt;&gt;"",F55&lt;&gt;"7 Ganado",F55&lt;&gt;"8 Perdido"),1,0)</f>
        <v/>
      </c>
    </row>
    <row r="56">
      <c r="A56" s="17" t="n"/>
      <c r="B56" s="19" t="n"/>
      <c r="C56" s="19" t="n"/>
      <c r="D56" s="19" t="n"/>
      <c r="E56" s="19" t="n"/>
      <c r="F56" s="19" t="n"/>
      <c r="G56" s="19" t="n"/>
      <c r="H56" s="24">
        <f>IF(G56="","",IFERROR(VLOOKUP(G56,Parametros!$A$5:$B$10,2,FALSE),0))</f>
        <v/>
      </c>
      <c r="I56" s="19" t="n"/>
      <c r="J56" s="17" t="n"/>
      <c r="K56">
        <f>IF(OR(B56="",F56="7 Ganado",F56="8 Perdido"),"",IF(J56="","SIN FECHA",IF(J56&lt;Parametros!$B$2,"VENCIDO","OK")))</f>
        <v/>
      </c>
      <c r="L56" s="19" t="n"/>
      <c r="M56">
        <f>IF(AND(B56&lt;&gt;"",F56&lt;&gt;"7 Ganado",F56&lt;&gt;"8 Perdido"),1,0)</f>
        <v/>
      </c>
    </row>
    <row r="57">
      <c r="A57" s="17" t="n"/>
      <c r="B57" s="19" t="n"/>
      <c r="C57" s="19" t="n"/>
      <c r="D57" s="19" t="n"/>
      <c r="E57" s="19" t="n"/>
      <c r="F57" s="19" t="n"/>
      <c r="G57" s="19" t="n"/>
      <c r="H57" s="24">
        <f>IF(G57="","",IFERROR(VLOOKUP(G57,Parametros!$A$5:$B$10,2,FALSE),0))</f>
        <v/>
      </c>
      <c r="I57" s="19" t="n"/>
      <c r="J57" s="17" t="n"/>
      <c r="K57">
        <f>IF(OR(B57="",F57="7 Ganado",F57="8 Perdido"),"",IF(J57="","SIN FECHA",IF(J57&lt;Parametros!$B$2,"VENCIDO","OK")))</f>
        <v/>
      </c>
      <c r="L57" s="19" t="n"/>
      <c r="M57">
        <f>IF(AND(B57&lt;&gt;"",F57&lt;&gt;"7 Ganado",F57&lt;&gt;"8 Perdido"),1,0)</f>
        <v/>
      </c>
    </row>
    <row r="58">
      <c r="A58" s="17" t="n"/>
      <c r="B58" s="19" t="n"/>
      <c r="C58" s="19" t="n"/>
      <c r="D58" s="19" t="n"/>
      <c r="E58" s="19" t="n"/>
      <c r="F58" s="19" t="n"/>
      <c r="G58" s="19" t="n"/>
      <c r="H58" s="24">
        <f>IF(G58="","",IFERROR(VLOOKUP(G58,Parametros!$A$5:$B$10,2,FALSE),0))</f>
        <v/>
      </c>
      <c r="I58" s="19" t="n"/>
      <c r="J58" s="17" t="n"/>
      <c r="K58">
        <f>IF(OR(B58="",F58="7 Ganado",F58="8 Perdido"),"",IF(J58="","SIN FECHA",IF(J58&lt;Parametros!$B$2,"VENCIDO","OK")))</f>
        <v/>
      </c>
      <c r="L58" s="19" t="n"/>
      <c r="M58">
        <f>IF(AND(B58&lt;&gt;"",F58&lt;&gt;"7 Ganado",F58&lt;&gt;"8 Perdido"),1,0)</f>
        <v/>
      </c>
    </row>
    <row r="59">
      <c r="A59" s="17" t="n"/>
      <c r="B59" s="19" t="n"/>
      <c r="C59" s="19" t="n"/>
      <c r="D59" s="19" t="n"/>
      <c r="E59" s="19" t="n"/>
      <c r="F59" s="19" t="n"/>
      <c r="G59" s="19" t="n"/>
      <c r="H59" s="24">
        <f>IF(G59="","",IFERROR(VLOOKUP(G59,Parametros!$A$5:$B$10,2,FALSE),0))</f>
        <v/>
      </c>
      <c r="I59" s="19" t="n"/>
      <c r="J59" s="17" t="n"/>
      <c r="K59">
        <f>IF(OR(B59="",F59="7 Ganado",F59="8 Perdido"),"",IF(J59="","SIN FECHA",IF(J59&lt;Parametros!$B$2,"VENCIDO","OK")))</f>
        <v/>
      </c>
      <c r="L59" s="19" t="n"/>
      <c r="M59">
        <f>IF(AND(B59&lt;&gt;"",F59&lt;&gt;"7 Ganado",F59&lt;&gt;"8 Perdido"),1,0)</f>
        <v/>
      </c>
    </row>
    <row r="60">
      <c r="A60" s="17" t="n"/>
      <c r="B60" s="19" t="n"/>
      <c r="C60" s="19" t="n"/>
      <c r="D60" s="19" t="n"/>
      <c r="E60" s="19" t="n"/>
      <c r="F60" s="19" t="n"/>
      <c r="G60" s="19" t="n"/>
      <c r="H60" s="24">
        <f>IF(G60="","",IFERROR(VLOOKUP(G60,Parametros!$A$5:$B$10,2,FALSE),0))</f>
        <v/>
      </c>
      <c r="I60" s="19" t="n"/>
      <c r="J60" s="17" t="n"/>
      <c r="K60">
        <f>IF(OR(B60="",F60="7 Ganado",F60="8 Perdido"),"",IF(J60="","SIN FECHA",IF(J60&lt;Parametros!$B$2,"VENCIDO","OK")))</f>
        <v/>
      </c>
      <c r="L60" s="19" t="n"/>
      <c r="M60">
        <f>IF(AND(B60&lt;&gt;"",F60&lt;&gt;"7 Ganado",F60&lt;&gt;"8 Perdido"),1,0)</f>
        <v/>
      </c>
    </row>
    <row r="61">
      <c r="A61" s="17" t="n"/>
      <c r="B61" s="19" t="n"/>
      <c r="C61" s="19" t="n"/>
      <c r="D61" s="19" t="n"/>
      <c r="E61" s="19" t="n"/>
      <c r="F61" s="19" t="n"/>
      <c r="G61" s="19" t="n"/>
      <c r="H61" s="24">
        <f>IF(G61="","",IFERROR(VLOOKUP(G61,Parametros!$A$5:$B$10,2,FALSE),0))</f>
        <v/>
      </c>
      <c r="I61" s="19" t="n"/>
      <c r="J61" s="17" t="n"/>
      <c r="K61">
        <f>IF(OR(B61="",F61="7 Ganado",F61="8 Perdido"),"",IF(J61="","SIN FECHA",IF(J61&lt;Parametros!$B$2,"VENCIDO","OK")))</f>
        <v/>
      </c>
      <c r="L61" s="19" t="n"/>
      <c r="M61">
        <f>IF(AND(B61&lt;&gt;"",F61&lt;&gt;"7 Ganado",F61&lt;&gt;"8 Perdido"),1,0)</f>
        <v/>
      </c>
    </row>
    <row r="62">
      <c r="A62" s="17" t="n"/>
      <c r="B62" s="19" t="n"/>
      <c r="C62" s="19" t="n"/>
      <c r="D62" s="19" t="n"/>
      <c r="E62" s="19" t="n"/>
      <c r="F62" s="19" t="n"/>
      <c r="G62" s="19" t="n"/>
      <c r="H62" s="24">
        <f>IF(G62="","",IFERROR(VLOOKUP(G62,Parametros!$A$5:$B$10,2,FALSE),0))</f>
        <v/>
      </c>
      <c r="I62" s="19" t="n"/>
      <c r="J62" s="17" t="n"/>
      <c r="K62">
        <f>IF(OR(B62="",F62="7 Ganado",F62="8 Perdido"),"",IF(J62="","SIN FECHA",IF(J62&lt;Parametros!$B$2,"VENCIDO","OK")))</f>
        <v/>
      </c>
      <c r="L62" s="19" t="n"/>
      <c r="M62">
        <f>IF(AND(B62&lt;&gt;"",F62&lt;&gt;"7 Ganado",F62&lt;&gt;"8 Perdido"),1,0)</f>
        <v/>
      </c>
    </row>
    <row r="63">
      <c r="A63" s="17" t="n"/>
      <c r="B63" s="19" t="n"/>
      <c r="C63" s="19" t="n"/>
      <c r="D63" s="19" t="n"/>
      <c r="E63" s="19" t="n"/>
      <c r="F63" s="19" t="n"/>
      <c r="G63" s="19" t="n"/>
      <c r="H63" s="24">
        <f>IF(G63="","",IFERROR(VLOOKUP(G63,Parametros!$A$5:$B$10,2,FALSE),0))</f>
        <v/>
      </c>
      <c r="I63" s="19" t="n"/>
      <c r="J63" s="17" t="n"/>
      <c r="K63">
        <f>IF(OR(B63="",F63="7 Ganado",F63="8 Perdido"),"",IF(J63="","SIN FECHA",IF(J63&lt;Parametros!$B$2,"VENCIDO","OK")))</f>
        <v/>
      </c>
      <c r="L63" s="19" t="n"/>
      <c r="M63">
        <f>IF(AND(B63&lt;&gt;"",F63&lt;&gt;"7 Ganado",F63&lt;&gt;"8 Perdido"),1,0)</f>
        <v/>
      </c>
    </row>
    <row r="64">
      <c r="A64" s="17" t="n"/>
      <c r="B64" s="19" t="n"/>
      <c r="C64" s="19" t="n"/>
      <c r="D64" s="19" t="n"/>
      <c r="E64" s="19" t="n"/>
      <c r="F64" s="19" t="n"/>
      <c r="G64" s="19" t="n"/>
      <c r="H64" s="24">
        <f>IF(G64="","",IFERROR(VLOOKUP(G64,Parametros!$A$5:$B$10,2,FALSE),0))</f>
        <v/>
      </c>
      <c r="I64" s="19" t="n"/>
      <c r="J64" s="17" t="n"/>
      <c r="K64">
        <f>IF(OR(B64="",F64="7 Ganado",F64="8 Perdido"),"",IF(J64="","SIN FECHA",IF(J64&lt;Parametros!$B$2,"VENCIDO","OK")))</f>
        <v/>
      </c>
      <c r="L64" s="19" t="n"/>
      <c r="M64">
        <f>IF(AND(B64&lt;&gt;"",F64&lt;&gt;"7 Ganado",F64&lt;&gt;"8 Perdido"),1,0)</f>
        <v/>
      </c>
    </row>
    <row r="65">
      <c r="A65" s="17" t="n"/>
      <c r="B65" s="19" t="n"/>
      <c r="C65" s="19" t="n"/>
      <c r="D65" s="19" t="n"/>
      <c r="E65" s="19" t="n"/>
      <c r="F65" s="19" t="n"/>
      <c r="G65" s="19" t="n"/>
      <c r="H65" s="24">
        <f>IF(G65="","",IFERROR(VLOOKUP(G65,Parametros!$A$5:$B$10,2,FALSE),0))</f>
        <v/>
      </c>
      <c r="I65" s="19" t="n"/>
      <c r="J65" s="17" t="n"/>
      <c r="K65">
        <f>IF(OR(B65="",F65="7 Ganado",F65="8 Perdido"),"",IF(J65="","SIN FECHA",IF(J65&lt;Parametros!$B$2,"VENCIDO","OK")))</f>
        <v/>
      </c>
      <c r="L65" s="19" t="n"/>
      <c r="M65">
        <f>IF(AND(B65&lt;&gt;"",F65&lt;&gt;"7 Ganado",F65&lt;&gt;"8 Perdido"),1,0)</f>
        <v/>
      </c>
    </row>
    <row r="66">
      <c r="A66" s="17" t="n"/>
      <c r="B66" s="19" t="n"/>
      <c r="C66" s="19" t="n"/>
      <c r="D66" s="19" t="n"/>
      <c r="E66" s="19" t="n"/>
      <c r="F66" s="19" t="n"/>
      <c r="G66" s="19" t="n"/>
      <c r="H66" s="24">
        <f>IF(G66="","",IFERROR(VLOOKUP(G66,Parametros!$A$5:$B$10,2,FALSE),0))</f>
        <v/>
      </c>
      <c r="I66" s="19" t="n"/>
      <c r="J66" s="17" t="n"/>
      <c r="K66">
        <f>IF(OR(B66="",F66="7 Ganado",F66="8 Perdido"),"",IF(J66="","SIN FECHA",IF(J66&lt;Parametros!$B$2,"VENCIDO","OK")))</f>
        <v/>
      </c>
      <c r="L66" s="19" t="n"/>
      <c r="M66">
        <f>IF(AND(B66&lt;&gt;"",F66&lt;&gt;"7 Ganado",F66&lt;&gt;"8 Perdido"),1,0)</f>
        <v/>
      </c>
    </row>
    <row r="67">
      <c r="A67" s="17" t="n"/>
      <c r="B67" s="19" t="n"/>
      <c r="C67" s="19" t="n"/>
      <c r="D67" s="19" t="n"/>
      <c r="E67" s="19" t="n"/>
      <c r="F67" s="19" t="n"/>
      <c r="G67" s="19" t="n"/>
      <c r="H67" s="24">
        <f>IF(G67="","",IFERROR(VLOOKUP(G67,Parametros!$A$5:$B$10,2,FALSE),0))</f>
        <v/>
      </c>
      <c r="I67" s="19" t="n"/>
      <c r="J67" s="17" t="n"/>
      <c r="K67">
        <f>IF(OR(B67="",F67="7 Ganado",F67="8 Perdido"),"",IF(J67="","SIN FECHA",IF(J67&lt;Parametros!$B$2,"VENCIDO","OK")))</f>
        <v/>
      </c>
      <c r="L67" s="19" t="n"/>
      <c r="M67">
        <f>IF(AND(B67&lt;&gt;"",F67&lt;&gt;"7 Ganado",F67&lt;&gt;"8 Perdido"),1,0)</f>
        <v/>
      </c>
    </row>
    <row r="68">
      <c r="A68" s="17" t="n"/>
      <c r="B68" s="19" t="n"/>
      <c r="C68" s="19" t="n"/>
      <c r="D68" s="19" t="n"/>
      <c r="E68" s="19" t="n"/>
      <c r="F68" s="19" t="n"/>
      <c r="G68" s="19" t="n"/>
      <c r="H68" s="24">
        <f>IF(G68="","",IFERROR(VLOOKUP(G68,Parametros!$A$5:$B$10,2,FALSE),0))</f>
        <v/>
      </c>
      <c r="I68" s="19" t="n"/>
      <c r="J68" s="17" t="n"/>
      <c r="K68">
        <f>IF(OR(B68="",F68="7 Ganado",F68="8 Perdido"),"",IF(J68="","SIN FECHA",IF(J68&lt;Parametros!$B$2,"VENCIDO","OK")))</f>
        <v/>
      </c>
      <c r="L68" s="19" t="n"/>
      <c r="M68">
        <f>IF(AND(B68&lt;&gt;"",F68&lt;&gt;"7 Ganado",F68&lt;&gt;"8 Perdido"),1,0)</f>
        <v/>
      </c>
    </row>
    <row r="69">
      <c r="A69" s="17" t="n"/>
      <c r="B69" s="19" t="n"/>
      <c r="C69" s="19" t="n"/>
      <c r="D69" s="19" t="n"/>
      <c r="E69" s="19" t="n"/>
      <c r="F69" s="19" t="n"/>
      <c r="G69" s="19" t="n"/>
      <c r="H69" s="24">
        <f>IF(G69="","",IFERROR(VLOOKUP(G69,Parametros!$A$5:$B$10,2,FALSE),0))</f>
        <v/>
      </c>
      <c r="I69" s="19" t="n"/>
      <c r="J69" s="17" t="n"/>
      <c r="K69">
        <f>IF(OR(B69="",F69="7 Ganado",F69="8 Perdido"),"",IF(J69="","SIN FECHA",IF(J69&lt;Parametros!$B$2,"VENCIDO","OK")))</f>
        <v/>
      </c>
      <c r="L69" s="19" t="n"/>
      <c r="M69">
        <f>IF(AND(B69&lt;&gt;"",F69&lt;&gt;"7 Ganado",F69&lt;&gt;"8 Perdido"),1,0)</f>
        <v/>
      </c>
    </row>
    <row r="70">
      <c r="A70" s="17" t="n"/>
      <c r="B70" s="19" t="n"/>
      <c r="C70" s="19" t="n"/>
      <c r="D70" s="19" t="n"/>
      <c r="E70" s="19" t="n"/>
      <c r="F70" s="19" t="n"/>
      <c r="G70" s="19" t="n"/>
      <c r="H70" s="24">
        <f>IF(G70="","",IFERROR(VLOOKUP(G70,Parametros!$A$5:$B$10,2,FALSE),0))</f>
        <v/>
      </c>
      <c r="I70" s="19" t="n"/>
      <c r="J70" s="17" t="n"/>
      <c r="K70">
        <f>IF(OR(B70="",F70="7 Ganado",F70="8 Perdido"),"",IF(J70="","SIN FECHA",IF(J70&lt;Parametros!$B$2,"VENCIDO","OK")))</f>
        <v/>
      </c>
      <c r="L70" s="19" t="n"/>
      <c r="M70">
        <f>IF(AND(B70&lt;&gt;"",F70&lt;&gt;"7 Ganado",F70&lt;&gt;"8 Perdido"),1,0)</f>
        <v/>
      </c>
    </row>
    <row r="71">
      <c r="A71" s="17" t="n"/>
      <c r="B71" s="19" t="n"/>
      <c r="C71" s="19" t="n"/>
      <c r="D71" s="19" t="n"/>
      <c r="E71" s="19" t="n"/>
      <c r="F71" s="19" t="n"/>
      <c r="G71" s="19" t="n"/>
      <c r="H71" s="24">
        <f>IF(G71="","",IFERROR(VLOOKUP(G71,Parametros!$A$5:$B$10,2,FALSE),0))</f>
        <v/>
      </c>
      <c r="I71" s="19" t="n"/>
      <c r="J71" s="17" t="n"/>
      <c r="K71">
        <f>IF(OR(B71="",F71="7 Ganado",F71="8 Perdido"),"",IF(J71="","SIN FECHA",IF(J71&lt;Parametros!$B$2,"VENCIDO","OK")))</f>
        <v/>
      </c>
      <c r="L71" s="19" t="n"/>
      <c r="M71">
        <f>IF(AND(B71&lt;&gt;"",F71&lt;&gt;"7 Ganado",F71&lt;&gt;"8 Perdido"),1,0)</f>
        <v/>
      </c>
    </row>
    <row r="72">
      <c r="A72" s="17" t="n"/>
      <c r="B72" s="19" t="n"/>
      <c r="C72" s="19" t="n"/>
      <c r="D72" s="19" t="n"/>
      <c r="E72" s="19" t="n"/>
      <c r="F72" s="19" t="n"/>
      <c r="G72" s="19" t="n"/>
      <c r="H72" s="24">
        <f>IF(G72="","",IFERROR(VLOOKUP(G72,Parametros!$A$5:$B$10,2,FALSE),0))</f>
        <v/>
      </c>
      <c r="I72" s="19" t="n"/>
      <c r="J72" s="17" t="n"/>
      <c r="K72">
        <f>IF(OR(B72="",F72="7 Ganado",F72="8 Perdido"),"",IF(J72="","SIN FECHA",IF(J72&lt;Parametros!$B$2,"VENCIDO","OK")))</f>
        <v/>
      </c>
      <c r="L72" s="19" t="n"/>
      <c r="M72">
        <f>IF(AND(B72&lt;&gt;"",F72&lt;&gt;"7 Ganado",F72&lt;&gt;"8 Perdido"),1,0)</f>
        <v/>
      </c>
    </row>
    <row r="73">
      <c r="A73" s="17" t="n"/>
      <c r="B73" s="19" t="n"/>
      <c r="C73" s="19" t="n"/>
      <c r="D73" s="19" t="n"/>
      <c r="E73" s="19" t="n"/>
      <c r="F73" s="19" t="n"/>
      <c r="G73" s="19" t="n"/>
      <c r="H73" s="24">
        <f>IF(G73="","",IFERROR(VLOOKUP(G73,Parametros!$A$5:$B$10,2,FALSE),0))</f>
        <v/>
      </c>
      <c r="I73" s="19" t="n"/>
      <c r="J73" s="17" t="n"/>
      <c r="K73">
        <f>IF(OR(B73="",F73="7 Ganado",F73="8 Perdido"),"",IF(J73="","SIN FECHA",IF(J73&lt;Parametros!$B$2,"VENCIDO","OK")))</f>
        <v/>
      </c>
      <c r="L73" s="19" t="n"/>
      <c r="M73">
        <f>IF(AND(B73&lt;&gt;"",F73&lt;&gt;"7 Ganado",F73&lt;&gt;"8 Perdido"),1,0)</f>
        <v/>
      </c>
    </row>
    <row r="74">
      <c r="A74" s="17" t="n"/>
      <c r="B74" s="19" t="n"/>
      <c r="C74" s="19" t="n"/>
      <c r="D74" s="19" t="n"/>
      <c r="E74" s="19" t="n"/>
      <c r="F74" s="19" t="n"/>
      <c r="G74" s="19" t="n"/>
      <c r="H74" s="24">
        <f>IF(G74="","",IFERROR(VLOOKUP(G74,Parametros!$A$5:$B$10,2,FALSE),0))</f>
        <v/>
      </c>
      <c r="I74" s="19" t="n"/>
      <c r="J74" s="17" t="n"/>
      <c r="K74">
        <f>IF(OR(B74="",F74="7 Ganado",F74="8 Perdido"),"",IF(J74="","SIN FECHA",IF(J74&lt;Parametros!$B$2,"VENCIDO","OK")))</f>
        <v/>
      </c>
      <c r="L74" s="19" t="n"/>
      <c r="M74">
        <f>IF(AND(B74&lt;&gt;"",F74&lt;&gt;"7 Ganado",F74&lt;&gt;"8 Perdido"),1,0)</f>
        <v/>
      </c>
    </row>
    <row r="75">
      <c r="A75" s="17" t="n"/>
      <c r="B75" s="19" t="n"/>
      <c r="C75" s="19" t="n"/>
      <c r="D75" s="19" t="n"/>
      <c r="E75" s="19" t="n"/>
      <c r="F75" s="19" t="n"/>
      <c r="G75" s="19" t="n"/>
      <c r="H75" s="24">
        <f>IF(G75="","",IFERROR(VLOOKUP(G75,Parametros!$A$5:$B$10,2,FALSE),0))</f>
        <v/>
      </c>
      <c r="I75" s="19" t="n"/>
      <c r="J75" s="17" t="n"/>
      <c r="K75">
        <f>IF(OR(B75="",F75="7 Ganado",F75="8 Perdido"),"",IF(J75="","SIN FECHA",IF(J75&lt;Parametros!$B$2,"VENCIDO","OK")))</f>
        <v/>
      </c>
      <c r="L75" s="19" t="n"/>
      <c r="M75">
        <f>IF(AND(B75&lt;&gt;"",F75&lt;&gt;"7 Ganado",F75&lt;&gt;"8 Perdido"),1,0)</f>
        <v/>
      </c>
    </row>
    <row r="76">
      <c r="A76" s="17" t="n"/>
      <c r="B76" s="19" t="n"/>
      <c r="C76" s="19" t="n"/>
      <c r="D76" s="19" t="n"/>
      <c r="E76" s="19" t="n"/>
      <c r="F76" s="19" t="n"/>
      <c r="G76" s="19" t="n"/>
      <c r="H76" s="24">
        <f>IF(G76="","",IFERROR(VLOOKUP(G76,Parametros!$A$5:$B$10,2,FALSE),0))</f>
        <v/>
      </c>
      <c r="I76" s="19" t="n"/>
      <c r="J76" s="17" t="n"/>
      <c r="K76">
        <f>IF(OR(B76="",F76="7 Ganado",F76="8 Perdido"),"",IF(J76="","SIN FECHA",IF(J76&lt;Parametros!$B$2,"VENCIDO","OK")))</f>
        <v/>
      </c>
      <c r="L76" s="19" t="n"/>
      <c r="M76">
        <f>IF(AND(B76&lt;&gt;"",F76&lt;&gt;"7 Ganado",F76&lt;&gt;"8 Perdido"),1,0)</f>
        <v/>
      </c>
    </row>
    <row r="77">
      <c r="A77" s="17" t="n"/>
      <c r="B77" s="19" t="n"/>
      <c r="C77" s="19" t="n"/>
      <c r="D77" s="19" t="n"/>
      <c r="E77" s="19" t="n"/>
      <c r="F77" s="19" t="n"/>
      <c r="G77" s="19" t="n"/>
      <c r="H77" s="24">
        <f>IF(G77="","",IFERROR(VLOOKUP(G77,Parametros!$A$5:$B$10,2,FALSE),0))</f>
        <v/>
      </c>
      <c r="I77" s="19" t="n"/>
      <c r="J77" s="17" t="n"/>
      <c r="K77">
        <f>IF(OR(B77="",F77="7 Ganado",F77="8 Perdido"),"",IF(J77="","SIN FECHA",IF(J77&lt;Parametros!$B$2,"VENCIDO","OK")))</f>
        <v/>
      </c>
      <c r="L77" s="19" t="n"/>
      <c r="M77">
        <f>IF(AND(B77&lt;&gt;"",F77&lt;&gt;"7 Ganado",F77&lt;&gt;"8 Perdido"),1,0)</f>
        <v/>
      </c>
    </row>
    <row r="78">
      <c r="A78" s="17" t="n"/>
      <c r="B78" s="19" t="n"/>
      <c r="C78" s="19" t="n"/>
      <c r="D78" s="19" t="n"/>
      <c r="E78" s="19" t="n"/>
      <c r="F78" s="19" t="n"/>
      <c r="G78" s="19" t="n"/>
      <c r="H78" s="24">
        <f>IF(G78="","",IFERROR(VLOOKUP(G78,Parametros!$A$5:$B$10,2,FALSE),0))</f>
        <v/>
      </c>
      <c r="I78" s="19" t="n"/>
      <c r="J78" s="17" t="n"/>
      <c r="K78">
        <f>IF(OR(B78="",F78="7 Ganado",F78="8 Perdido"),"",IF(J78="","SIN FECHA",IF(J78&lt;Parametros!$B$2,"VENCIDO","OK")))</f>
        <v/>
      </c>
      <c r="L78" s="19" t="n"/>
      <c r="M78">
        <f>IF(AND(B78&lt;&gt;"",F78&lt;&gt;"7 Ganado",F78&lt;&gt;"8 Perdido"),1,0)</f>
        <v/>
      </c>
    </row>
    <row r="79">
      <c r="A79" s="17" t="n"/>
      <c r="B79" s="19" t="n"/>
      <c r="C79" s="19" t="n"/>
      <c r="D79" s="19" t="n"/>
      <c r="E79" s="19" t="n"/>
      <c r="F79" s="19" t="n"/>
      <c r="G79" s="19" t="n"/>
      <c r="H79" s="24">
        <f>IF(G79="","",IFERROR(VLOOKUP(G79,Parametros!$A$5:$B$10,2,FALSE),0))</f>
        <v/>
      </c>
      <c r="I79" s="19" t="n"/>
      <c r="J79" s="17" t="n"/>
      <c r="K79">
        <f>IF(OR(B79="",F79="7 Ganado",F79="8 Perdido"),"",IF(J79="","SIN FECHA",IF(J79&lt;Parametros!$B$2,"VENCIDO","OK")))</f>
        <v/>
      </c>
      <c r="L79" s="19" t="n"/>
      <c r="M79">
        <f>IF(AND(B79&lt;&gt;"",F79&lt;&gt;"7 Ganado",F79&lt;&gt;"8 Perdido"),1,0)</f>
        <v/>
      </c>
    </row>
    <row r="80">
      <c r="A80" s="17" t="n"/>
      <c r="B80" s="19" t="n"/>
      <c r="C80" s="19" t="n"/>
      <c r="D80" s="19" t="n"/>
      <c r="E80" s="19" t="n"/>
      <c r="F80" s="19" t="n"/>
      <c r="G80" s="19" t="n"/>
      <c r="H80" s="24">
        <f>IF(G80="","",IFERROR(VLOOKUP(G80,Parametros!$A$5:$B$10,2,FALSE),0))</f>
        <v/>
      </c>
      <c r="I80" s="19" t="n"/>
      <c r="J80" s="17" t="n"/>
      <c r="K80">
        <f>IF(OR(B80="",F80="7 Ganado",F80="8 Perdido"),"",IF(J80="","SIN FECHA",IF(J80&lt;Parametros!$B$2,"VENCIDO","OK")))</f>
        <v/>
      </c>
      <c r="L80" s="19" t="n"/>
      <c r="M80">
        <f>IF(AND(B80&lt;&gt;"",F80&lt;&gt;"7 Ganado",F80&lt;&gt;"8 Perdido"),1,0)</f>
        <v/>
      </c>
    </row>
    <row r="81">
      <c r="A81" s="17" t="n"/>
      <c r="B81" s="19" t="n"/>
      <c r="C81" s="19" t="n"/>
      <c r="D81" s="19" t="n"/>
      <c r="E81" s="19" t="n"/>
      <c r="F81" s="19" t="n"/>
      <c r="G81" s="19" t="n"/>
      <c r="H81" s="24">
        <f>IF(G81="","",IFERROR(VLOOKUP(G81,Parametros!$A$5:$B$10,2,FALSE),0))</f>
        <v/>
      </c>
      <c r="I81" s="19" t="n"/>
      <c r="J81" s="17" t="n"/>
      <c r="K81">
        <f>IF(OR(B81="",F81="7 Ganado",F81="8 Perdido"),"",IF(J81="","SIN FECHA",IF(J81&lt;Parametros!$B$2,"VENCIDO","OK")))</f>
        <v/>
      </c>
      <c r="L81" s="19" t="n"/>
      <c r="M81">
        <f>IF(AND(B81&lt;&gt;"",F81&lt;&gt;"7 Ganado",F81&lt;&gt;"8 Perdido"),1,0)</f>
        <v/>
      </c>
    </row>
    <row r="82">
      <c r="A82" s="17" t="n"/>
      <c r="B82" s="19" t="n"/>
      <c r="C82" s="19" t="n"/>
      <c r="D82" s="19" t="n"/>
      <c r="E82" s="19" t="n"/>
      <c r="F82" s="19" t="n"/>
      <c r="G82" s="19" t="n"/>
      <c r="H82" s="24">
        <f>IF(G82="","",IFERROR(VLOOKUP(G82,Parametros!$A$5:$B$10,2,FALSE),0))</f>
        <v/>
      </c>
      <c r="I82" s="19" t="n"/>
      <c r="J82" s="17" t="n"/>
      <c r="K82">
        <f>IF(OR(B82="",F82="7 Ganado",F82="8 Perdido"),"",IF(J82="","SIN FECHA",IF(J82&lt;Parametros!$B$2,"VENCIDO","OK")))</f>
        <v/>
      </c>
      <c r="L82" s="19" t="n"/>
      <c r="M82">
        <f>IF(AND(B82&lt;&gt;"",F82&lt;&gt;"7 Ganado",F82&lt;&gt;"8 Perdido"),1,0)</f>
        <v/>
      </c>
    </row>
    <row r="83">
      <c r="A83" s="17" t="n"/>
      <c r="B83" s="19" t="n"/>
      <c r="C83" s="19" t="n"/>
      <c r="D83" s="19" t="n"/>
      <c r="E83" s="19" t="n"/>
      <c r="F83" s="19" t="n"/>
      <c r="G83" s="19" t="n"/>
      <c r="H83" s="24">
        <f>IF(G83="","",IFERROR(VLOOKUP(G83,Parametros!$A$5:$B$10,2,FALSE),0))</f>
        <v/>
      </c>
      <c r="I83" s="19" t="n"/>
      <c r="J83" s="17" t="n"/>
      <c r="K83">
        <f>IF(OR(B83="",F83="7 Ganado",F83="8 Perdido"),"",IF(J83="","SIN FECHA",IF(J83&lt;Parametros!$B$2,"VENCIDO","OK")))</f>
        <v/>
      </c>
      <c r="L83" s="19" t="n"/>
      <c r="M83">
        <f>IF(AND(B83&lt;&gt;"",F83&lt;&gt;"7 Ganado",F83&lt;&gt;"8 Perdido"),1,0)</f>
        <v/>
      </c>
    </row>
    <row r="84">
      <c r="A84" s="17" t="n"/>
      <c r="B84" s="19" t="n"/>
      <c r="C84" s="19" t="n"/>
      <c r="D84" s="19" t="n"/>
      <c r="E84" s="19" t="n"/>
      <c r="F84" s="19" t="n"/>
      <c r="G84" s="19" t="n"/>
      <c r="H84" s="24">
        <f>IF(G84="","",IFERROR(VLOOKUP(G84,Parametros!$A$5:$B$10,2,FALSE),0))</f>
        <v/>
      </c>
      <c r="I84" s="19" t="n"/>
      <c r="J84" s="17" t="n"/>
      <c r="K84">
        <f>IF(OR(B84="",F84="7 Ganado",F84="8 Perdido"),"",IF(J84="","SIN FECHA",IF(J84&lt;Parametros!$B$2,"VENCIDO","OK")))</f>
        <v/>
      </c>
      <c r="L84" s="19" t="n"/>
      <c r="M84">
        <f>IF(AND(B84&lt;&gt;"",F84&lt;&gt;"7 Ganado",F84&lt;&gt;"8 Perdido"),1,0)</f>
        <v/>
      </c>
    </row>
    <row r="85">
      <c r="A85" s="17" t="n"/>
      <c r="B85" s="19" t="n"/>
      <c r="C85" s="19" t="n"/>
      <c r="D85" s="19" t="n"/>
      <c r="E85" s="19" t="n"/>
      <c r="F85" s="19" t="n"/>
      <c r="G85" s="19" t="n"/>
      <c r="H85" s="24">
        <f>IF(G85="","",IFERROR(VLOOKUP(G85,Parametros!$A$5:$B$10,2,FALSE),0))</f>
        <v/>
      </c>
      <c r="I85" s="19" t="n"/>
      <c r="J85" s="17" t="n"/>
      <c r="K85">
        <f>IF(OR(B85="",F85="7 Ganado",F85="8 Perdido"),"",IF(J85="","SIN FECHA",IF(J85&lt;Parametros!$B$2,"VENCIDO","OK")))</f>
        <v/>
      </c>
      <c r="L85" s="19" t="n"/>
      <c r="M85">
        <f>IF(AND(B85&lt;&gt;"",F85&lt;&gt;"7 Ganado",F85&lt;&gt;"8 Perdido"),1,0)</f>
        <v/>
      </c>
    </row>
    <row r="86">
      <c r="A86" s="17" t="n"/>
      <c r="B86" s="19" t="n"/>
      <c r="C86" s="19" t="n"/>
      <c r="D86" s="19" t="n"/>
      <c r="E86" s="19" t="n"/>
      <c r="F86" s="19" t="n"/>
      <c r="G86" s="19" t="n"/>
      <c r="H86" s="24">
        <f>IF(G86="","",IFERROR(VLOOKUP(G86,Parametros!$A$5:$B$10,2,FALSE),0))</f>
        <v/>
      </c>
      <c r="I86" s="19" t="n"/>
      <c r="J86" s="17" t="n"/>
      <c r="K86">
        <f>IF(OR(B86="",F86="7 Ganado",F86="8 Perdido"),"",IF(J86="","SIN FECHA",IF(J86&lt;Parametros!$B$2,"VENCIDO","OK")))</f>
        <v/>
      </c>
      <c r="L86" s="19" t="n"/>
      <c r="M86">
        <f>IF(AND(B86&lt;&gt;"",F86&lt;&gt;"7 Ganado",F86&lt;&gt;"8 Perdido"),1,0)</f>
        <v/>
      </c>
    </row>
    <row r="87">
      <c r="A87" s="17" t="n"/>
      <c r="B87" s="19" t="n"/>
      <c r="C87" s="19" t="n"/>
      <c r="D87" s="19" t="n"/>
      <c r="E87" s="19" t="n"/>
      <c r="F87" s="19" t="n"/>
      <c r="G87" s="19" t="n"/>
      <c r="H87" s="24">
        <f>IF(G87="","",IFERROR(VLOOKUP(G87,Parametros!$A$5:$B$10,2,FALSE),0))</f>
        <v/>
      </c>
      <c r="I87" s="19" t="n"/>
      <c r="J87" s="17" t="n"/>
      <c r="K87">
        <f>IF(OR(B87="",F87="7 Ganado",F87="8 Perdido"),"",IF(J87="","SIN FECHA",IF(J87&lt;Parametros!$B$2,"VENCIDO","OK")))</f>
        <v/>
      </c>
      <c r="L87" s="19" t="n"/>
      <c r="M87">
        <f>IF(AND(B87&lt;&gt;"",F87&lt;&gt;"7 Ganado",F87&lt;&gt;"8 Perdido"),1,0)</f>
        <v/>
      </c>
    </row>
    <row r="88">
      <c r="A88" s="17" t="n"/>
      <c r="B88" s="19" t="n"/>
      <c r="C88" s="19" t="n"/>
      <c r="D88" s="19" t="n"/>
      <c r="E88" s="19" t="n"/>
      <c r="F88" s="19" t="n"/>
      <c r="G88" s="19" t="n"/>
      <c r="H88" s="24">
        <f>IF(G88="","",IFERROR(VLOOKUP(G88,Parametros!$A$5:$B$10,2,FALSE),0))</f>
        <v/>
      </c>
      <c r="I88" s="19" t="n"/>
      <c r="J88" s="17" t="n"/>
      <c r="K88">
        <f>IF(OR(B88="",F88="7 Ganado",F88="8 Perdido"),"",IF(J88="","SIN FECHA",IF(J88&lt;Parametros!$B$2,"VENCIDO","OK")))</f>
        <v/>
      </c>
      <c r="L88" s="19" t="n"/>
      <c r="M88">
        <f>IF(AND(B88&lt;&gt;"",F88&lt;&gt;"7 Ganado",F88&lt;&gt;"8 Perdido"),1,0)</f>
        <v/>
      </c>
    </row>
    <row r="89">
      <c r="A89" s="17" t="n"/>
      <c r="B89" s="19" t="n"/>
      <c r="C89" s="19" t="n"/>
      <c r="D89" s="19" t="n"/>
      <c r="E89" s="19" t="n"/>
      <c r="F89" s="19" t="n"/>
      <c r="G89" s="19" t="n"/>
      <c r="H89" s="24">
        <f>IF(G89="","",IFERROR(VLOOKUP(G89,Parametros!$A$5:$B$10,2,FALSE),0))</f>
        <v/>
      </c>
      <c r="I89" s="19" t="n"/>
      <c r="J89" s="17" t="n"/>
      <c r="K89">
        <f>IF(OR(B89="",F89="7 Ganado",F89="8 Perdido"),"",IF(J89="","SIN FECHA",IF(J89&lt;Parametros!$B$2,"VENCIDO","OK")))</f>
        <v/>
      </c>
      <c r="L89" s="19" t="n"/>
      <c r="M89">
        <f>IF(AND(B89&lt;&gt;"",F89&lt;&gt;"7 Ganado",F89&lt;&gt;"8 Perdido"),1,0)</f>
        <v/>
      </c>
    </row>
    <row r="90">
      <c r="A90" s="17" t="n"/>
      <c r="B90" s="19" t="n"/>
      <c r="C90" s="19" t="n"/>
      <c r="D90" s="19" t="n"/>
      <c r="E90" s="19" t="n"/>
      <c r="F90" s="19" t="n"/>
      <c r="G90" s="19" t="n"/>
      <c r="H90" s="24">
        <f>IF(G90="","",IFERROR(VLOOKUP(G90,Parametros!$A$5:$B$10,2,FALSE),0))</f>
        <v/>
      </c>
      <c r="I90" s="19" t="n"/>
      <c r="J90" s="17" t="n"/>
      <c r="K90">
        <f>IF(OR(B90="",F90="7 Ganado",F90="8 Perdido"),"",IF(J90="","SIN FECHA",IF(J90&lt;Parametros!$B$2,"VENCIDO","OK")))</f>
        <v/>
      </c>
      <c r="L90" s="19" t="n"/>
      <c r="M90">
        <f>IF(AND(B90&lt;&gt;"",F90&lt;&gt;"7 Ganado",F90&lt;&gt;"8 Perdido"),1,0)</f>
        <v/>
      </c>
    </row>
    <row r="91">
      <c r="A91" s="17" t="n"/>
      <c r="B91" s="19" t="n"/>
      <c r="C91" s="19" t="n"/>
      <c r="D91" s="19" t="n"/>
      <c r="E91" s="19" t="n"/>
      <c r="F91" s="19" t="n"/>
      <c r="G91" s="19" t="n"/>
      <c r="H91" s="24">
        <f>IF(G91="","",IFERROR(VLOOKUP(G91,Parametros!$A$5:$B$10,2,FALSE),0))</f>
        <v/>
      </c>
      <c r="I91" s="19" t="n"/>
      <c r="J91" s="17" t="n"/>
      <c r="K91">
        <f>IF(OR(B91="",F91="7 Ganado",F91="8 Perdido"),"",IF(J91="","SIN FECHA",IF(J91&lt;Parametros!$B$2,"VENCIDO","OK")))</f>
        <v/>
      </c>
      <c r="L91" s="19" t="n"/>
      <c r="M91">
        <f>IF(AND(B91&lt;&gt;"",F91&lt;&gt;"7 Ganado",F91&lt;&gt;"8 Perdido"),1,0)</f>
        <v/>
      </c>
    </row>
    <row r="92">
      <c r="A92" s="17" t="n"/>
      <c r="B92" s="19" t="n"/>
      <c r="C92" s="19" t="n"/>
      <c r="D92" s="19" t="n"/>
      <c r="E92" s="19" t="n"/>
      <c r="F92" s="19" t="n"/>
      <c r="G92" s="19" t="n"/>
      <c r="H92" s="24">
        <f>IF(G92="","",IFERROR(VLOOKUP(G92,Parametros!$A$5:$B$10,2,FALSE),0))</f>
        <v/>
      </c>
      <c r="I92" s="19" t="n"/>
      <c r="J92" s="17" t="n"/>
      <c r="K92">
        <f>IF(OR(B92="",F92="7 Ganado",F92="8 Perdido"),"",IF(J92="","SIN FECHA",IF(J92&lt;Parametros!$B$2,"VENCIDO","OK")))</f>
        <v/>
      </c>
      <c r="L92" s="19" t="n"/>
      <c r="M92">
        <f>IF(AND(B92&lt;&gt;"",F92&lt;&gt;"7 Ganado",F92&lt;&gt;"8 Perdido"),1,0)</f>
        <v/>
      </c>
    </row>
    <row r="93">
      <c r="A93" s="17" t="n"/>
      <c r="B93" s="19" t="n"/>
      <c r="C93" s="19" t="n"/>
      <c r="D93" s="19" t="n"/>
      <c r="E93" s="19" t="n"/>
      <c r="F93" s="19" t="n"/>
      <c r="G93" s="19" t="n"/>
      <c r="H93" s="24">
        <f>IF(G93="","",IFERROR(VLOOKUP(G93,Parametros!$A$5:$B$10,2,FALSE),0))</f>
        <v/>
      </c>
      <c r="I93" s="19" t="n"/>
      <c r="J93" s="17" t="n"/>
      <c r="K93">
        <f>IF(OR(B93="",F93="7 Ganado",F93="8 Perdido"),"",IF(J93="","SIN FECHA",IF(J93&lt;Parametros!$B$2,"VENCIDO","OK")))</f>
        <v/>
      </c>
      <c r="L93" s="19" t="n"/>
      <c r="M93">
        <f>IF(AND(B93&lt;&gt;"",F93&lt;&gt;"7 Ganado",F93&lt;&gt;"8 Perdido"),1,0)</f>
        <v/>
      </c>
    </row>
    <row r="94">
      <c r="A94" s="17" t="n"/>
      <c r="B94" s="19" t="n"/>
      <c r="C94" s="19" t="n"/>
      <c r="D94" s="19" t="n"/>
      <c r="E94" s="19" t="n"/>
      <c r="F94" s="19" t="n"/>
      <c r="G94" s="19" t="n"/>
      <c r="H94" s="24">
        <f>IF(G94="","",IFERROR(VLOOKUP(G94,Parametros!$A$5:$B$10,2,FALSE),0))</f>
        <v/>
      </c>
      <c r="I94" s="19" t="n"/>
      <c r="J94" s="17" t="n"/>
      <c r="K94">
        <f>IF(OR(B94="",F94="7 Ganado",F94="8 Perdido"),"",IF(J94="","SIN FECHA",IF(J94&lt;Parametros!$B$2,"VENCIDO","OK")))</f>
        <v/>
      </c>
      <c r="L94" s="19" t="n"/>
      <c r="M94">
        <f>IF(AND(B94&lt;&gt;"",F94&lt;&gt;"7 Ganado",F94&lt;&gt;"8 Perdido"),1,0)</f>
        <v/>
      </c>
    </row>
    <row r="95">
      <c r="A95" s="17" t="n"/>
      <c r="B95" s="19" t="n"/>
      <c r="C95" s="19" t="n"/>
      <c r="D95" s="19" t="n"/>
      <c r="E95" s="19" t="n"/>
      <c r="F95" s="19" t="n"/>
      <c r="G95" s="19" t="n"/>
      <c r="H95" s="24">
        <f>IF(G95="","",IFERROR(VLOOKUP(G95,Parametros!$A$5:$B$10,2,FALSE),0))</f>
        <v/>
      </c>
      <c r="I95" s="19" t="n"/>
      <c r="J95" s="17" t="n"/>
      <c r="K95">
        <f>IF(OR(B95="",F95="7 Ganado",F95="8 Perdido"),"",IF(J95="","SIN FECHA",IF(J95&lt;Parametros!$B$2,"VENCIDO","OK")))</f>
        <v/>
      </c>
      <c r="L95" s="19" t="n"/>
      <c r="M95">
        <f>IF(AND(B95&lt;&gt;"",F95&lt;&gt;"7 Ganado",F95&lt;&gt;"8 Perdido"),1,0)</f>
        <v/>
      </c>
    </row>
    <row r="96">
      <c r="A96" s="17" t="n"/>
      <c r="B96" s="19" t="n"/>
      <c r="C96" s="19" t="n"/>
      <c r="D96" s="19" t="n"/>
      <c r="E96" s="19" t="n"/>
      <c r="F96" s="19" t="n"/>
      <c r="G96" s="19" t="n"/>
      <c r="H96" s="24">
        <f>IF(G96="","",IFERROR(VLOOKUP(G96,Parametros!$A$5:$B$10,2,FALSE),0))</f>
        <v/>
      </c>
      <c r="I96" s="19" t="n"/>
      <c r="J96" s="17" t="n"/>
      <c r="K96">
        <f>IF(OR(B96="",F96="7 Ganado",F96="8 Perdido"),"",IF(J96="","SIN FECHA",IF(J96&lt;Parametros!$B$2,"VENCIDO","OK")))</f>
        <v/>
      </c>
      <c r="L96" s="19" t="n"/>
      <c r="M96">
        <f>IF(AND(B96&lt;&gt;"",F96&lt;&gt;"7 Ganado",F96&lt;&gt;"8 Perdido"),1,0)</f>
        <v/>
      </c>
    </row>
    <row r="97">
      <c r="A97" s="17" t="n"/>
      <c r="B97" s="19" t="n"/>
      <c r="C97" s="19" t="n"/>
      <c r="D97" s="19" t="n"/>
      <c r="E97" s="19" t="n"/>
      <c r="F97" s="19" t="n"/>
      <c r="G97" s="19" t="n"/>
      <c r="H97" s="24">
        <f>IF(G97="","",IFERROR(VLOOKUP(G97,Parametros!$A$5:$B$10,2,FALSE),0))</f>
        <v/>
      </c>
      <c r="I97" s="19" t="n"/>
      <c r="J97" s="17" t="n"/>
      <c r="K97">
        <f>IF(OR(B97="",F97="7 Ganado",F97="8 Perdido"),"",IF(J97="","SIN FECHA",IF(J97&lt;Parametros!$B$2,"VENCIDO","OK")))</f>
        <v/>
      </c>
      <c r="L97" s="19" t="n"/>
      <c r="M97">
        <f>IF(AND(B97&lt;&gt;"",F97&lt;&gt;"7 Ganado",F97&lt;&gt;"8 Perdido"),1,0)</f>
        <v/>
      </c>
    </row>
    <row r="98">
      <c r="A98" s="17" t="n"/>
      <c r="B98" s="19" t="n"/>
      <c r="C98" s="19" t="n"/>
      <c r="D98" s="19" t="n"/>
      <c r="E98" s="19" t="n"/>
      <c r="F98" s="19" t="n"/>
      <c r="G98" s="19" t="n"/>
      <c r="H98" s="24">
        <f>IF(G98="","",IFERROR(VLOOKUP(G98,Parametros!$A$5:$B$10,2,FALSE),0))</f>
        <v/>
      </c>
      <c r="I98" s="19" t="n"/>
      <c r="J98" s="17" t="n"/>
      <c r="K98">
        <f>IF(OR(B98="",F98="7 Ganado",F98="8 Perdido"),"",IF(J98="","SIN FECHA",IF(J98&lt;Parametros!$B$2,"VENCIDO","OK")))</f>
        <v/>
      </c>
      <c r="L98" s="19" t="n"/>
      <c r="M98">
        <f>IF(AND(B98&lt;&gt;"",F98&lt;&gt;"7 Ganado",F98&lt;&gt;"8 Perdido"),1,0)</f>
        <v/>
      </c>
    </row>
    <row r="99">
      <c r="A99" s="17" t="n"/>
      <c r="B99" s="19" t="n"/>
      <c r="C99" s="19" t="n"/>
      <c r="D99" s="19" t="n"/>
      <c r="E99" s="19" t="n"/>
      <c r="F99" s="19" t="n"/>
      <c r="G99" s="19" t="n"/>
      <c r="H99" s="24">
        <f>IF(G99="","",IFERROR(VLOOKUP(G99,Parametros!$A$5:$B$10,2,FALSE),0))</f>
        <v/>
      </c>
      <c r="I99" s="19" t="n"/>
      <c r="J99" s="17" t="n"/>
      <c r="K99">
        <f>IF(OR(B99="",F99="7 Ganado",F99="8 Perdido"),"",IF(J99="","SIN FECHA",IF(J99&lt;Parametros!$B$2,"VENCIDO","OK")))</f>
        <v/>
      </c>
      <c r="L99" s="19" t="n"/>
      <c r="M99">
        <f>IF(AND(B99&lt;&gt;"",F99&lt;&gt;"7 Ganado",F99&lt;&gt;"8 Perdido"),1,0)</f>
        <v/>
      </c>
    </row>
    <row r="100">
      <c r="A100" s="17" t="n"/>
      <c r="B100" s="19" t="n"/>
      <c r="C100" s="19" t="n"/>
      <c r="D100" s="19" t="n"/>
      <c r="E100" s="19" t="n"/>
      <c r="F100" s="19" t="n"/>
      <c r="G100" s="19" t="n"/>
      <c r="H100" s="24">
        <f>IF(G100="","",IFERROR(VLOOKUP(G100,Parametros!$A$5:$B$10,2,FALSE),0))</f>
        <v/>
      </c>
      <c r="I100" s="19" t="n"/>
      <c r="J100" s="17" t="n"/>
      <c r="K100">
        <f>IF(OR(B100="",F100="7 Ganado",F100="8 Perdido"),"",IF(J100="","SIN FECHA",IF(J100&lt;Parametros!$B$2,"VENCIDO","OK")))</f>
        <v/>
      </c>
      <c r="L100" s="19" t="n"/>
      <c r="M100">
        <f>IF(AND(B100&lt;&gt;"",F100&lt;&gt;"7 Ganado",F100&lt;&gt;"8 Perdido"),1,0)</f>
        <v/>
      </c>
    </row>
    <row r="101">
      <c r="A101" s="17" t="n"/>
      <c r="B101" s="19" t="n"/>
      <c r="C101" s="19" t="n"/>
      <c r="D101" s="19" t="n"/>
      <c r="E101" s="19" t="n"/>
      <c r="F101" s="19" t="n"/>
      <c r="G101" s="19" t="n"/>
      <c r="H101" s="24">
        <f>IF(G101="","",IFERROR(VLOOKUP(G101,Parametros!$A$5:$B$10,2,FALSE),0))</f>
        <v/>
      </c>
      <c r="I101" s="19" t="n"/>
      <c r="J101" s="17" t="n"/>
      <c r="K101">
        <f>IF(OR(B101="",F101="7 Ganado",F101="8 Perdido"),"",IF(J101="","SIN FECHA",IF(J101&lt;Parametros!$B$2,"VENCIDO","OK")))</f>
        <v/>
      </c>
      <c r="L101" s="19" t="n"/>
      <c r="M101">
        <f>IF(AND(B101&lt;&gt;"",F101&lt;&gt;"7 Ganado",F101&lt;&gt;"8 Perdido"),1,0)</f>
        <v/>
      </c>
    </row>
    <row r="102">
      <c r="A102" s="17" t="n"/>
      <c r="B102" s="19" t="n"/>
      <c r="C102" s="19" t="n"/>
      <c r="D102" s="19" t="n"/>
      <c r="E102" s="19" t="n"/>
      <c r="F102" s="19" t="n"/>
      <c r="G102" s="19" t="n"/>
      <c r="H102" s="24">
        <f>IF(G102="","",IFERROR(VLOOKUP(G102,Parametros!$A$5:$B$10,2,FALSE),0))</f>
        <v/>
      </c>
      <c r="I102" s="19" t="n"/>
      <c r="J102" s="17" t="n"/>
      <c r="K102">
        <f>IF(OR(B102="",F102="7 Ganado",F102="8 Perdido"),"",IF(J102="","SIN FECHA",IF(J102&lt;Parametros!$B$2,"VENCIDO","OK")))</f>
        <v/>
      </c>
      <c r="L102" s="19" t="n"/>
      <c r="M102">
        <f>IF(AND(B102&lt;&gt;"",F102&lt;&gt;"7 Ganado",F102&lt;&gt;"8 Perdido"),1,0)</f>
        <v/>
      </c>
    </row>
    <row r="103">
      <c r="A103" s="17" t="n"/>
      <c r="B103" s="19" t="n"/>
      <c r="C103" s="19" t="n"/>
      <c r="D103" s="19" t="n"/>
      <c r="E103" s="19" t="n"/>
      <c r="F103" s="19" t="n"/>
      <c r="G103" s="19" t="n"/>
      <c r="H103" s="24">
        <f>IF(G103="","",IFERROR(VLOOKUP(G103,Parametros!$A$5:$B$10,2,FALSE),0))</f>
        <v/>
      </c>
      <c r="I103" s="19" t="n"/>
      <c r="J103" s="17" t="n"/>
      <c r="K103">
        <f>IF(OR(B103="",F103="7 Ganado",F103="8 Perdido"),"",IF(J103="","SIN FECHA",IF(J103&lt;Parametros!$B$2,"VENCIDO","OK")))</f>
        <v/>
      </c>
      <c r="L103" s="19" t="n"/>
      <c r="M103">
        <f>IF(AND(B103&lt;&gt;"",F103&lt;&gt;"7 Ganado",F103&lt;&gt;"8 Perdido"),1,0)</f>
        <v/>
      </c>
    </row>
    <row r="104">
      <c r="A104" s="17" t="n"/>
      <c r="B104" s="19" t="n"/>
      <c r="C104" s="19" t="n"/>
      <c r="D104" s="19" t="n"/>
      <c r="E104" s="19" t="n"/>
      <c r="F104" s="19" t="n"/>
      <c r="G104" s="19" t="n"/>
      <c r="H104" s="24">
        <f>IF(G104="","",IFERROR(VLOOKUP(G104,Parametros!$A$5:$B$10,2,FALSE),0))</f>
        <v/>
      </c>
      <c r="I104" s="19" t="n"/>
      <c r="J104" s="17" t="n"/>
      <c r="K104">
        <f>IF(OR(B104="",F104="7 Ganado",F104="8 Perdido"),"",IF(J104="","SIN FECHA",IF(J104&lt;Parametros!$B$2,"VENCIDO","OK")))</f>
        <v/>
      </c>
      <c r="L104" s="19" t="n"/>
      <c r="M104">
        <f>IF(AND(B104&lt;&gt;"",F104&lt;&gt;"7 Ganado",F104&lt;&gt;"8 Perdido"),1,0)</f>
        <v/>
      </c>
    </row>
    <row r="105">
      <c r="A105" s="17" t="n"/>
      <c r="B105" s="19" t="n"/>
      <c r="C105" s="19" t="n"/>
      <c r="D105" s="19" t="n"/>
      <c r="E105" s="19" t="n"/>
      <c r="F105" s="19" t="n"/>
      <c r="G105" s="19" t="n"/>
      <c r="H105" s="24">
        <f>IF(G105="","",IFERROR(VLOOKUP(G105,Parametros!$A$5:$B$10,2,FALSE),0))</f>
        <v/>
      </c>
      <c r="I105" s="19" t="n"/>
      <c r="J105" s="17" t="n"/>
      <c r="K105">
        <f>IF(OR(B105="",F105="7 Ganado",F105="8 Perdido"),"",IF(J105="","SIN FECHA",IF(J105&lt;Parametros!$B$2,"VENCIDO","OK")))</f>
        <v/>
      </c>
      <c r="L105" s="19" t="n"/>
      <c r="M105">
        <f>IF(AND(B105&lt;&gt;"",F105&lt;&gt;"7 Ganado",F105&lt;&gt;"8 Perdido"),1,0)</f>
        <v/>
      </c>
    </row>
    <row r="106">
      <c r="A106" s="17" t="n"/>
      <c r="B106" s="19" t="n"/>
      <c r="C106" s="19" t="n"/>
      <c r="D106" s="19" t="n"/>
      <c r="E106" s="19" t="n"/>
      <c r="F106" s="19" t="n"/>
      <c r="G106" s="19" t="n"/>
      <c r="H106" s="24">
        <f>IF(G106="","",IFERROR(VLOOKUP(G106,Parametros!$A$5:$B$10,2,FALSE),0))</f>
        <v/>
      </c>
      <c r="I106" s="19" t="n"/>
      <c r="J106" s="17" t="n"/>
      <c r="K106">
        <f>IF(OR(B106="",F106="7 Ganado",F106="8 Perdido"),"",IF(J106="","SIN FECHA",IF(J106&lt;Parametros!$B$2,"VENCIDO","OK")))</f>
        <v/>
      </c>
      <c r="L106" s="19" t="n"/>
      <c r="M106">
        <f>IF(AND(B106&lt;&gt;"",F106&lt;&gt;"7 Ganado",F106&lt;&gt;"8 Perdido"),1,0)</f>
        <v/>
      </c>
    </row>
    <row r="107">
      <c r="A107" s="17" t="n"/>
      <c r="B107" s="19" t="n"/>
      <c r="C107" s="19" t="n"/>
      <c r="D107" s="19" t="n"/>
      <c r="E107" s="19" t="n"/>
      <c r="F107" s="19" t="n"/>
      <c r="G107" s="19" t="n"/>
      <c r="H107" s="24">
        <f>IF(G107="","",IFERROR(VLOOKUP(G107,Parametros!$A$5:$B$10,2,FALSE),0))</f>
        <v/>
      </c>
      <c r="I107" s="19" t="n"/>
      <c r="J107" s="17" t="n"/>
      <c r="K107">
        <f>IF(OR(B107="",F107="7 Ganado",F107="8 Perdido"),"",IF(J107="","SIN FECHA",IF(J107&lt;Parametros!$B$2,"VENCIDO","OK")))</f>
        <v/>
      </c>
      <c r="L107" s="19" t="n"/>
      <c r="M107">
        <f>IF(AND(B107&lt;&gt;"",F107&lt;&gt;"7 Ganado",F107&lt;&gt;"8 Perdido"),1,0)</f>
        <v/>
      </c>
    </row>
    <row r="108">
      <c r="A108" s="17" t="n"/>
      <c r="B108" s="19" t="n"/>
      <c r="C108" s="19" t="n"/>
      <c r="D108" s="19" t="n"/>
      <c r="E108" s="19" t="n"/>
      <c r="F108" s="19" t="n"/>
      <c r="G108" s="19" t="n"/>
      <c r="H108" s="24">
        <f>IF(G108="","",IFERROR(VLOOKUP(G108,Parametros!$A$5:$B$10,2,FALSE),0))</f>
        <v/>
      </c>
      <c r="I108" s="19" t="n"/>
      <c r="J108" s="17" t="n"/>
      <c r="K108">
        <f>IF(OR(B108="",F108="7 Ganado",F108="8 Perdido"),"",IF(J108="","SIN FECHA",IF(J108&lt;Parametros!$B$2,"VENCIDO","OK")))</f>
        <v/>
      </c>
      <c r="L108" s="19" t="n"/>
      <c r="M108">
        <f>IF(AND(B108&lt;&gt;"",F108&lt;&gt;"7 Ganado",F108&lt;&gt;"8 Perdido"),1,0)</f>
        <v/>
      </c>
    </row>
    <row r="109">
      <c r="A109" s="17" t="n"/>
      <c r="B109" s="19" t="n"/>
      <c r="C109" s="19" t="n"/>
      <c r="D109" s="19" t="n"/>
      <c r="E109" s="19" t="n"/>
      <c r="F109" s="19" t="n"/>
      <c r="G109" s="19" t="n"/>
      <c r="H109" s="24">
        <f>IF(G109="","",IFERROR(VLOOKUP(G109,Parametros!$A$5:$B$10,2,FALSE),0))</f>
        <v/>
      </c>
      <c r="I109" s="19" t="n"/>
      <c r="J109" s="17" t="n"/>
      <c r="K109">
        <f>IF(OR(B109="",F109="7 Ganado",F109="8 Perdido"),"",IF(J109="","SIN FECHA",IF(J109&lt;Parametros!$B$2,"VENCIDO","OK")))</f>
        <v/>
      </c>
      <c r="L109" s="19" t="n"/>
      <c r="M109">
        <f>IF(AND(B109&lt;&gt;"",F109&lt;&gt;"7 Ganado",F109&lt;&gt;"8 Perdido"),1,0)</f>
        <v/>
      </c>
    </row>
    <row r="110">
      <c r="A110" s="17" t="n"/>
      <c r="B110" s="19" t="n"/>
      <c r="C110" s="19" t="n"/>
      <c r="D110" s="19" t="n"/>
      <c r="E110" s="19" t="n"/>
      <c r="F110" s="19" t="n"/>
      <c r="G110" s="19" t="n"/>
      <c r="H110" s="24">
        <f>IF(G110="","",IFERROR(VLOOKUP(G110,Parametros!$A$5:$B$10,2,FALSE),0))</f>
        <v/>
      </c>
      <c r="I110" s="19" t="n"/>
      <c r="J110" s="17" t="n"/>
      <c r="K110">
        <f>IF(OR(B110="",F110="7 Ganado",F110="8 Perdido"),"",IF(J110="","SIN FECHA",IF(J110&lt;Parametros!$B$2,"VENCIDO","OK")))</f>
        <v/>
      </c>
      <c r="L110" s="19" t="n"/>
      <c r="M110">
        <f>IF(AND(B110&lt;&gt;"",F110&lt;&gt;"7 Ganado",F110&lt;&gt;"8 Perdido"),1,0)</f>
        <v/>
      </c>
    </row>
    <row r="111">
      <c r="A111" s="17" t="n"/>
      <c r="B111" s="19" t="n"/>
      <c r="C111" s="19" t="n"/>
      <c r="D111" s="19" t="n"/>
      <c r="E111" s="19" t="n"/>
      <c r="F111" s="19" t="n"/>
      <c r="G111" s="19" t="n"/>
      <c r="H111" s="24">
        <f>IF(G111="","",IFERROR(VLOOKUP(G111,Parametros!$A$5:$B$10,2,FALSE),0))</f>
        <v/>
      </c>
      <c r="I111" s="19" t="n"/>
      <c r="J111" s="17" t="n"/>
      <c r="K111">
        <f>IF(OR(B111="",F111="7 Ganado",F111="8 Perdido"),"",IF(J111="","SIN FECHA",IF(J111&lt;Parametros!$B$2,"VENCIDO","OK")))</f>
        <v/>
      </c>
      <c r="L111" s="19" t="n"/>
      <c r="M111">
        <f>IF(AND(B111&lt;&gt;"",F111&lt;&gt;"7 Ganado",F111&lt;&gt;"8 Perdido"),1,0)</f>
        <v/>
      </c>
    </row>
    <row r="112">
      <c r="A112" s="17" t="n"/>
      <c r="B112" s="19" t="n"/>
      <c r="C112" s="19" t="n"/>
      <c r="D112" s="19" t="n"/>
      <c r="E112" s="19" t="n"/>
      <c r="F112" s="19" t="n"/>
      <c r="G112" s="19" t="n"/>
      <c r="H112" s="24">
        <f>IF(G112="","",IFERROR(VLOOKUP(G112,Parametros!$A$5:$B$10,2,FALSE),0))</f>
        <v/>
      </c>
      <c r="I112" s="19" t="n"/>
      <c r="J112" s="17" t="n"/>
      <c r="K112">
        <f>IF(OR(B112="",F112="7 Ganado",F112="8 Perdido"),"",IF(J112="","SIN FECHA",IF(J112&lt;Parametros!$B$2,"VENCIDO","OK")))</f>
        <v/>
      </c>
      <c r="L112" s="19" t="n"/>
      <c r="M112">
        <f>IF(AND(B112&lt;&gt;"",F112&lt;&gt;"7 Ganado",F112&lt;&gt;"8 Perdido"),1,0)</f>
        <v/>
      </c>
    </row>
    <row r="113">
      <c r="A113" s="17" t="n"/>
      <c r="B113" s="19" t="n"/>
      <c r="C113" s="19" t="n"/>
      <c r="D113" s="19" t="n"/>
      <c r="E113" s="19" t="n"/>
      <c r="F113" s="19" t="n"/>
      <c r="G113" s="19" t="n"/>
      <c r="H113" s="24">
        <f>IF(G113="","",IFERROR(VLOOKUP(G113,Parametros!$A$5:$B$10,2,FALSE),0))</f>
        <v/>
      </c>
      <c r="I113" s="19" t="n"/>
      <c r="J113" s="17" t="n"/>
      <c r="K113">
        <f>IF(OR(B113="",F113="7 Ganado",F113="8 Perdido"),"",IF(J113="","SIN FECHA",IF(J113&lt;Parametros!$B$2,"VENCIDO","OK")))</f>
        <v/>
      </c>
      <c r="L113" s="19" t="n"/>
      <c r="M113">
        <f>IF(AND(B113&lt;&gt;"",F113&lt;&gt;"7 Ganado",F113&lt;&gt;"8 Perdido"),1,0)</f>
        <v/>
      </c>
    </row>
    <row r="114">
      <c r="A114" s="17" t="n"/>
      <c r="B114" s="19" t="n"/>
      <c r="C114" s="19" t="n"/>
      <c r="D114" s="19" t="n"/>
      <c r="E114" s="19" t="n"/>
      <c r="F114" s="19" t="n"/>
      <c r="G114" s="19" t="n"/>
      <c r="H114" s="24">
        <f>IF(G114="","",IFERROR(VLOOKUP(G114,Parametros!$A$5:$B$10,2,FALSE),0))</f>
        <v/>
      </c>
      <c r="I114" s="19" t="n"/>
      <c r="J114" s="17" t="n"/>
      <c r="K114">
        <f>IF(OR(B114="",F114="7 Ganado",F114="8 Perdido"),"",IF(J114="","SIN FECHA",IF(J114&lt;Parametros!$B$2,"VENCIDO","OK")))</f>
        <v/>
      </c>
      <c r="L114" s="19" t="n"/>
      <c r="M114">
        <f>IF(AND(B114&lt;&gt;"",F114&lt;&gt;"7 Ganado",F114&lt;&gt;"8 Perdido"),1,0)</f>
        <v/>
      </c>
    </row>
    <row r="115">
      <c r="A115" s="17" t="n"/>
      <c r="B115" s="19" t="n"/>
      <c r="C115" s="19" t="n"/>
      <c r="D115" s="19" t="n"/>
      <c r="E115" s="19" t="n"/>
      <c r="F115" s="19" t="n"/>
      <c r="G115" s="19" t="n"/>
      <c r="H115" s="24">
        <f>IF(G115="","",IFERROR(VLOOKUP(G115,Parametros!$A$5:$B$10,2,FALSE),0))</f>
        <v/>
      </c>
      <c r="I115" s="19" t="n"/>
      <c r="J115" s="17" t="n"/>
      <c r="K115">
        <f>IF(OR(B115="",F115="7 Ganado",F115="8 Perdido"),"",IF(J115="","SIN FECHA",IF(J115&lt;Parametros!$B$2,"VENCIDO","OK")))</f>
        <v/>
      </c>
      <c r="L115" s="19" t="n"/>
      <c r="M115">
        <f>IF(AND(B115&lt;&gt;"",F115&lt;&gt;"7 Ganado",F115&lt;&gt;"8 Perdido"),1,0)</f>
        <v/>
      </c>
    </row>
    <row r="116">
      <c r="A116" s="17" t="n"/>
      <c r="B116" s="19" t="n"/>
      <c r="C116" s="19" t="n"/>
      <c r="D116" s="19" t="n"/>
      <c r="E116" s="19" t="n"/>
      <c r="F116" s="19" t="n"/>
      <c r="G116" s="19" t="n"/>
      <c r="H116" s="24">
        <f>IF(G116="","",IFERROR(VLOOKUP(G116,Parametros!$A$5:$B$10,2,FALSE),0))</f>
        <v/>
      </c>
      <c r="I116" s="19" t="n"/>
      <c r="J116" s="17" t="n"/>
      <c r="K116">
        <f>IF(OR(B116="",F116="7 Ganado",F116="8 Perdido"),"",IF(J116="","SIN FECHA",IF(J116&lt;Parametros!$B$2,"VENCIDO","OK")))</f>
        <v/>
      </c>
      <c r="L116" s="19" t="n"/>
      <c r="M116">
        <f>IF(AND(B116&lt;&gt;"",F116&lt;&gt;"7 Ganado",F116&lt;&gt;"8 Perdido"),1,0)</f>
        <v/>
      </c>
    </row>
    <row r="117">
      <c r="A117" s="17" t="n"/>
      <c r="B117" s="19" t="n"/>
      <c r="C117" s="19" t="n"/>
      <c r="D117" s="19" t="n"/>
      <c r="E117" s="19" t="n"/>
      <c r="F117" s="19" t="n"/>
      <c r="G117" s="19" t="n"/>
      <c r="H117" s="24">
        <f>IF(G117="","",IFERROR(VLOOKUP(G117,Parametros!$A$5:$B$10,2,FALSE),0))</f>
        <v/>
      </c>
      <c r="I117" s="19" t="n"/>
      <c r="J117" s="17" t="n"/>
      <c r="K117">
        <f>IF(OR(B117="",F117="7 Ganado",F117="8 Perdido"),"",IF(J117="","SIN FECHA",IF(J117&lt;Parametros!$B$2,"VENCIDO","OK")))</f>
        <v/>
      </c>
      <c r="L117" s="19" t="n"/>
      <c r="M117">
        <f>IF(AND(B117&lt;&gt;"",F117&lt;&gt;"7 Ganado",F117&lt;&gt;"8 Perdido"),1,0)</f>
        <v/>
      </c>
    </row>
    <row r="118">
      <c r="A118" s="17" t="n"/>
      <c r="B118" s="19" t="n"/>
      <c r="C118" s="19" t="n"/>
      <c r="D118" s="19" t="n"/>
      <c r="E118" s="19" t="n"/>
      <c r="F118" s="19" t="n"/>
      <c r="G118" s="19" t="n"/>
      <c r="H118" s="24">
        <f>IF(G118="","",IFERROR(VLOOKUP(G118,Parametros!$A$5:$B$10,2,FALSE),0))</f>
        <v/>
      </c>
      <c r="I118" s="19" t="n"/>
      <c r="J118" s="17" t="n"/>
      <c r="K118">
        <f>IF(OR(B118="",F118="7 Ganado",F118="8 Perdido"),"",IF(J118="","SIN FECHA",IF(J118&lt;Parametros!$B$2,"VENCIDO","OK")))</f>
        <v/>
      </c>
      <c r="L118" s="19" t="n"/>
      <c r="M118">
        <f>IF(AND(B118&lt;&gt;"",F118&lt;&gt;"7 Ganado",F118&lt;&gt;"8 Perdido"),1,0)</f>
        <v/>
      </c>
    </row>
    <row r="119">
      <c r="A119" s="17" t="n"/>
      <c r="B119" s="19" t="n"/>
      <c r="C119" s="19" t="n"/>
      <c r="D119" s="19" t="n"/>
      <c r="E119" s="19" t="n"/>
      <c r="F119" s="19" t="n"/>
      <c r="G119" s="19" t="n"/>
      <c r="H119" s="24">
        <f>IF(G119="","",IFERROR(VLOOKUP(G119,Parametros!$A$5:$B$10,2,FALSE),0))</f>
        <v/>
      </c>
      <c r="I119" s="19" t="n"/>
      <c r="J119" s="17" t="n"/>
      <c r="K119">
        <f>IF(OR(B119="",F119="7 Ganado",F119="8 Perdido"),"",IF(J119="","SIN FECHA",IF(J119&lt;Parametros!$B$2,"VENCIDO","OK")))</f>
        <v/>
      </c>
      <c r="L119" s="19" t="n"/>
      <c r="M119">
        <f>IF(AND(B119&lt;&gt;"",F119&lt;&gt;"7 Ganado",F119&lt;&gt;"8 Perdido"),1,0)</f>
        <v/>
      </c>
    </row>
    <row r="120">
      <c r="A120" s="17" t="n"/>
      <c r="B120" s="19" t="n"/>
      <c r="C120" s="19" t="n"/>
      <c r="D120" s="19" t="n"/>
      <c r="E120" s="19" t="n"/>
      <c r="F120" s="19" t="n"/>
      <c r="G120" s="19" t="n"/>
      <c r="H120" s="24">
        <f>IF(G120="","",IFERROR(VLOOKUP(G120,Parametros!$A$5:$B$10,2,FALSE),0))</f>
        <v/>
      </c>
      <c r="I120" s="19" t="n"/>
      <c r="J120" s="17" t="n"/>
      <c r="K120">
        <f>IF(OR(B120="",F120="7 Ganado",F120="8 Perdido"),"",IF(J120="","SIN FECHA",IF(J120&lt;Parametros!$B$2,"VENCIDO","OK")))</f>
        <v/>
      </c>
      <c r="L120" s="19" t="n"/>
      <c r="M120">
        <f>IF(AND(B120&lt;&gt;"",F120&lt;&gt;"7 Ganado",F120&lt;&gt;"8 Perdido"),1,0)</f>
        <v/>
      </c>
    </row>
    <row r="121">
      <c r="A121" s="17" t="n"/>
      <c r="B121" s="19" t="n"/>
      <c r="C121" s="19" t="n"/>
      <c r="D121" s="19" t="n"/>
      <c r="E121" s="19" t="n"/>
      <c r="F121" s="19" t="n"/>
      <c r="G121" s="19" t="n"/>
      <c r="H121" s="24">
        <f>IF(G121="","",IFERROR(VLOOKUP(G121,Parametros!$A$5:$B$10,2,FALSE),0))</f>
        <v/>
      </c>
      <c r="I121" s="19" t="n"/>
      <c r="J121" s="17" t="n"/>
      <c r="K121">
        <f>IF(OR(B121="",F121="7 Ganado",F121="8 Perdido"),"",IF(J121="","SIN FECHA",IF(J121&lt;Parametros!$B$2,"VENCIDO","OK")))</f>
        <v/>
      </c>
      <c r="L121" s="19" t="n"/>
      <c r="M121">
        <f>IF(AND(B121&lt;&gt;"",F121&lt;&gt;"7 Ganado",F121&lt;&gt;"8 Perdido"),1,0)</f>
        <v/>
      </c>
    </row>
    <row r="122">
      <c r="A122" s="17" t="n"/>
      <c r="B122" s="19" t="n"/>
      <c r="C122" s="19" t="n"/>
      <c r="D122" s="19" t="n"/>
      <c r="E122" s="19" t="n"/>
      <c r="F122" s="19" t="n"/>
      <c r="G122" s="19" t="n"/>
      <c r="H122" s="24">
        <f>IF(G122="","",IFERROR(VLOOKUP(G122,Parametros!$A$5:$B$10,2,FALSE),0))</f>
        <v/>
      </c>
      <c r="I122" s="19" t="n"/>
      <c r="J122" s="17" t="n"/>
      <c r="K122">
        <f>IF(OR(B122="",F122="7 Ganado",F122="8 Perdido"),"",IF(J122="","SIN FECHA",IF(J122&lt;Parametros!$B$2,"VENCIDO","OK")))</f>
        <v/>
      </c>
      <c r="L122" s="19" t="n"/>
      <c r="M122">
        <f>IF(AND(B122&lt;&gt;"",F122&lt;&gt;"7 Ganado",F122&lt;&gt;"8 Perdido"),1,0)</f>
        <v/>
      </c>
    </row>
    <row r="123">
      <c r="A123" s="17" t="n"/>
      <c r="B123" s="19" t="n"/>
      <c r="C123" s="19" t="n"/>
      <c r="D123" s="19" t="n"/>
      <c r="E123" s="19" t="n"/>
      <c r="F123" s="19" t="n"/>
      <c r="G123" s="19" t="n"/>
      <c r="H123" s="24">
        <f>IF(G123="","",IFERROR(VLOOKUP(G123,Parametros!$A$5:$B$10,2,FALSE),0))</f>
        <v/>
      </c>
      <c r="I123" s="19" t="n"/>
      <c r="J123" s="17" t="n"/>
      <c r="K123">
        <f>IF(OR(B123="",F123="7 Ganado",F123="8 Perdido"),"",IF(J123="","SIN FECHA",IF(J123&lt;Parametros!$B$2,"VENCIDO","OK")))</f>
        <v/>
      </c>
      <c r="L123" s="19" t="n"/>
      <c r="M123">
        <f>IF(AND(B123&lt;&gt;"",F123&lt;&gt;"7 Ganado",F123&lt;&gt;"8 Perdido"),1,0)</f>
        <v/>
      </c>
    </row>
    <row r="124">
      <c r="A124" s="17" t="n"/>
      <c r="B124" s="19" t="n"/>
      <c r="C124" s="19" t="n"/>
      <c r="D124" s="19" t="n"/>
      <c r="E124" s="19" t="n"/>
      <c r="F124" s="19" t="n"/>
      <c r="G124" s="19" t="n"/>
      <c r="H124" s="24">
        <f>IF(G124="","",IFERROR(VLOOKUP(G124,Parametros!$A$5:$B$10,2,FALSE),0))</f>
        <v/>
      </c>
      <c r="I124" s="19" t="n"/>
      <c r="J124" s="17" t="n"/>
      <c r="K124">
        <f>IF(OR(B124="",F124="7 Ganado",F124="8 Perdido"),"",IF(J124="","SIN FECHA",IF(J124&lt;Parametros!$B$2,"VENCIDO","OK")))</f>
        <v/>
      </c>
      <c r="L124" s="19" t="n"/>
      <c r="M124">
        <f>IF(AND(B124&lt;&gt;"",F124&lt;&gt;"7 Ganado",F124&lt;&gt;"8 Perdido"),1,0)</f>
        <v/>
      </c>
    </row>
    <row r="125">
      <c r="A125" s="17" t="n"/>
      <c r="B125" s="19" t="n"/>
      <c r="C125" s="19" t="n"/>
      <c r="D125" s="19" t="n"/>
      <c r="E125" s="19" t="n"/>
      <c r="F125" s="19" t="n"/>
      <c r="G125" s="19" t="n"/>
      <c r="H125" s="24">
        <f>IF(G125="","",IFERROR(VLOOKUP(G125,Parametros!$A$5:$B$10,2,FALSE),0))</f>
        <v/>
      </c>
      <c r="I125" s="19" t="n"/>
      <c r="J125" s="17" t="n"/>
      <c r="K125">
        <f>IF(OR(B125="",F125="7 Ganado",F125="8 Perdido"),"",IF(J125="","SIN FECHA",IF(J125&lt;Parametros!$B$2,"VENCIDO","OK")))</f>
        <v/>
      </c>
      <c r="L125" s="19" t="n"/>
      <c r="M125">
        <f>IF(AND(B125&lt;&gt;"",F125&lt;&gt;"7 Ganado",F125&lt;&gt;"8 Perdido"),1,0)</f>
        <v/>
      </c>
    </row>
    <row r="126">
      <c r="A126" s="17" t="n"/>
      <c r="B126" s="19" t="n"/>
      <c r="C126" s="19" t="n"/>
      <c r="D126" s="19" t="n"/>
      <c r="E126" s="19" t="n"/>
      <c r="F126" s="19" t="n"/>
      <c r="G126" s="19" t="n"/>
      <c r="H126" s="24">
        <f>IF(G126="","",IFERROR(VLOOKUP(G126,Parametros!$A$5:$B$10,2,FALSE),0))</f>
        <v/>
      </c>
      <c r="I126" s="19" t="n"/>
      <c r="J126" s="17" t="n"/>
      <c r="K126">
        <f>IF(OR(B126="",F126="7 Ganado",F126="8 Perdido"),"",IF(J126="","SIN FECHA",IF(J126&lt;Parametros!$B$2,"VENCIDO","OK")))</f>
        <v/>
      </c>
      <c r="L126" s="19" t="n"/>
      <c r="M126">
        <f>IF(AND(B126&lt;&gt;"",F126&lt;&gt;"7 Ganado",F126&lt;&gt;"8 Perdido"),1,0)</f>
        <v/>
      </c>
    </row>
    <row r="127">
      <c r="A127" s="17" t="n"/>
      <c r="B127" s="19" t="n"/>
      <c r="C127" s="19" t="n"/>
      <c r="D127" s="19" t="n"/>
      <c r="E127" s="19" t="n"/>
      <c r="F127" s="19" t="n"/>
      <c r="G127" s="19" t="n"/>
      <c r="H127" s="24">
        <f>IF(G127="","",IFERROR(VLOOKUP(G127,Parametros!$A$5:$B$10,2,FALSE),0))</f>
        <v/>
      </c>
      <c r="I127" s="19" t="n"/>
      <c r="J127" s="17" t="n"/>
      <c r="K127">
        <f>IF(OR(B127="",F127="7 Ganado",F127="8 Perdido"),"",IF(J127="","SIN FECHA",IF(J127&lt;Parametros!$B$2,"VENCIDO","OK")))</f>
        <v/>
      </c>
      <c r="L127" s="19" t="n"/>
      <c r="M127">
        <f>IF(AND(B127&lt;&gt;"",F127&lt;&gt;"7 Ganado",F127&lt;&gt;"8 Perdido"),1,0)</f>
        <v/>
      </c>
    </row>
    <row r="128">
      <c r="A128" s="17" t="n"/>
      <c r="B128" s="19" t="n"/>
      <c r="C128" s="19" t="n"/>
      <c r="D128" s="19" t="n"/>
      <c r="E128" s="19" t="n"/>
      <c r="F128" s="19" t="n"/>
      <c r="G128" s="19" t="n"/>
      <c r="H128" s="24">
        <f>IF(G128="","",IFERROR(VLOOKUP(G128,Parametros!$A$5:$B$10,2,FALSE),0))</f>
        <v/>
      </c>
      <c r="I128" s="19" t="n"/>
      <c r="J128" s="17" t="n"/>
      <c r="K128">
        <f>IF(OR(B128="",F128="7 Ganado",F128="8 Perdido"),"",IF(J128="","SIN FECHA",IF(J128&lt;Parametros!$B$2,"VENCIDO","OK")))</f>
        <v/>
      </c>
      <c r="L128" s="19" t="n"/>
      <c r="M128">
        <f>IF(AND(B128&lt;&gt;"",F128&lt;&gt;"7 Ganado",F128&lt;&gt;"8 Perdido"),1,0)</f>
        <v/>
      </c>
    </row>
    <row r="129">
      <c r="A129" s="17" t="n"/>
      <c r="B129" s="19" t="n"/>
      <c r="C129" s="19" t="n"/>
      <c r="D129" s="19" t="n"/>
      <c r="E129" s="19" t="n"/>
      <c r="F129" s="19" t="n"/>
      <c r="G129" s="19" t="n"/>
      <c r="H129" s="24">
        <f>IF(G129="","",IFERROR(VLOOKUP(G129,Parametros!$A$5:$B$10,2,FALSE),0))</f>
        <v/>
      </c>
      <c r="I129" s="19" t="n"/>
      <c r="J129" s="17" t="n"/>
      <c r="K129">
        <f>IF(OR(B129="",F129="7 Ganado",F129="8 Perdido"),"",IF(J129="","SIN FECHA",IF(J129&lt;Parametros!$B$2,"VENCIDO","OK")))</f>
        <v/>
      </c>
      <c r="L129" s="19" t="n"/>
      <c r="M129">
        <f>IF(AND(B129&lt;&gt;"",F129&lt;&gt;"7 Ganado",F129&lt;&gt;"8 Perdido"),1,0)</f>
        <v/>
      </c>
    </row>
    <row r="130">
      <c r="A130" s="17" t="n"/>
      <c r="B130" s="19" t="n"/>
      <c r="C130" s="19" t="n"/>
      <c r="D130" s="19" t="n"/>
      <c r="E130" s="19" t="n"/>
      <c r="F130" s="19" t="n"/>
      <c r="G130" s="19" t="n"/>
      <c r="H130" s="24">
        <f>IF(G130="","",IFERROR(VLOOKUP(G130,Parametros!$A$5:$B$10,2,FALSE),0))</f>
        <v/>
      </c>
      <c r="I130" s="19" t="n"/>
      <c r="J130" s="17" t="n"/>
      <c r="K130">
        <f>IF(OR(B130="",F130="7 Ganado",F130="8 Perdido"),"",IF(J130="","SIN FECHA",IF(J130&lt;Parametros!$B$2,"VENCIDO","OK")))</f>
        <v/>
      </c>
      <c r="L130" s="19" t="n"/>
      <c r="M130">
        <f>IF(AND(B130&lt;&gt;"",F130&lt;&gt;"7 Ganado",F130&lt;&gt;"8 Perdido"),1,0)</f>
        <v/>
      </c>
    </row>
    <row r="131">
      <c r="A131" s="17" t="n"/>
      <c r="B131" s="19" t="n"/>
      <c r="C131" s="19" t="n"/>
      <c r="D131" s="19" t="n"/>
      <c r="E131" s="19" t="n"/>
      <c r="F131" s="19" t="n"/>
      <c r="G131" s="19" t="n"/>
      <c r="H131" s="24">
        <f>IF(G131="","",IFERROR(VLOOKUP(G131,Parametros!$A$5:$B$10,2,FALSE),0))</f>
        <v/>
      </c>
      <c r="I131" s="19" t="n"/>
      <c r="J131" s="17" t="n"/>
      <c r="K131">
        <f>IF(OR(B131="",F131="7 Ganado",F131="8 Perdido"),"",IF(J131="","SIN FECHA",IF(J131&lt;Parametros!$B$2,"VENCIDO","OK")))</f>
        <v/>
      </c>
      <c r="L131" s="19" t="n"/>
      <c r="M131">
        <f>IF(AND(B131&lt;&gt;"",F131&lt;&gt;"7 Ganado",F131&lt;&gt;"8 Perdido"),1,0)</f>
        <v/>
      </c>
    </row>
    <row r="132">
      <c r="A132" s="17" t="n"/>
      <c r="B132" s="19" t="n"/>
      <c r="C132" s="19" t="n"/>
      <c r="D132" s="19" t="n"/>
      <c r="E132" s="19" t="n"/>
      <c r="F132" s="19" t="n"/>
      <c r="G132" s="19" t="n"/>
      <c r="H132" s="24">
        <f>IF(G132="","",IFERROR(VLOOKUP(G132,Parametros!$A$5:$B$10,2,FALSE),0))</f>
        <v/>
      </c>
      <c r="I132" s="19" t="n"/>
      <c r="J132" s="17" t="n"/>
      <c r="K132">
        <f>IF(OR(B132="",F132="7 Ganado",F132="8 Perdido"),"",IF(J132="","SIN FECHA",IF(J132&lt;Parametros!$B$2,"VENCIDO","OK")))</f>
        <v/>
      </c>
      <c r="L132" s="19" t="n"/>
      <c r="M132">
        <f>IF(AND(B132&lt;&gt;"",F132&lt;&gt;"7 Ganado",F132&lt;&gt;"8 Perdido"),1,0)</f>
        <v/>
      </c>
    </row>
    <row r="133">
      <c r="A133" s="17" t="n"/>
      <c r="B133" s="19" t="n"/>
      <c r="C133" s="19" t="n"/>
      <c r="D133" s="19" t="n"/>
      <c r="E133" s="19" t="n"/>
      <c r="F133" s="19" t="n"/>
      <c r="G133" s="19" t="n"/>
      <c r="H133" s="24">
        <f>IF(G133="","",IFERROR(VLOOKUP(G133,Parametros!$A$5:$B$10,2,FALSE),0))</f>
        <v/>
      </c>
      <c r="I133" s="19" t="n"/>
      <c r="J133" s="17" t="n"/>
      <c r="K133">
        <f>IF(OR(B133="",F133="7 Ganado",F133="8 Perdido"),"",IF(J133="","SIN FECHA",IF(J133&lt;Parametros!$B$2,"VENCIDO","OK")))</f>
        <v/>
      </c>
      <c r="L133" s="19" t="n"/>
      <c r="M133">
        <f>IF(AND(B133&lt;&gt;"",F133&lt;&gt;"7 Ganado",F133&lt;&gt;"8 Perdido"),1,0)</f>
        <v/>
      </c>
    </row>
    <row r="134">
      <c r="A134" s="17" t="n"/>
      <c r="B134" s="19" t="n"/>
      <c r="C134" s="19" t="n"/>
      <c r="D134" s="19" t="n"/>
      <c r="E134" s="19" t="n"/>
      <c r="F134" s="19" t="n"/>
      <c r="G134" s="19" t="n"/>
      <c r="H134" s="24">
        <f>IF(G134="","",IFERROR(VLOOKUP(G134,Parametros!$A$5:$B$10,2,FALSE),0))</f>
        <v/>
      </c>
      <c r="I134" s="19" t="n"/>
      <c r="J134" s="17" t="n"/>
      <c r="K134">
        <f>IF(OR(B134="",F134="7 Ganado",F134="8 Perdido"),"",IF(J134="","SIN FECHA",IF(J134&lt;Parametros!$B$2,"VENCIDO","OK")))</f>
        <v/>
      </c>
      <c r="L134" s="19" t="n"/>
      <c r="M134">
        <f>IF(AND(B134&lt;&gt;"",F134&lt;&gt;"7 Ganado",F134&lt;&gt;"8 Perdido"),1,0)</f>
        <v/>
      </c>
    </row>
    <row r="135">
      <c r="A135" s="17" t="n"/>
      <c r="B135" s="19" t="n"/>
      <c r="C135" s="19" t="n"/>
      <c r="D135" s="19" t="n"/>
      <c r="E135" s="19" t="n"/>
      <c r="F135" s="19" t="n"/>
      <c r="G135" s="19" t="n"/>
      <c r="H135" s="24">
        <f>IF(G135="","",IFERROR(VLOOKUP(G135,Parametros!$A$5:$B$10,2,FALSE),0))</f>
        <v/>
      </c>
      <c r="I135" s="19" t="n"/>
      <c r="J135" s="17" t="n"/>
      <c r="K135">
        <f>IF(OR(B135="",F135="7 Ganado",F135="8 Perdido"),"",IF(J135="","SIN FECHA",IF(J135&lt;Parametros!$B$2,"VENCIDO","OK")))</f>
        <v/>
      </c>
      <c r="L135" s="19" t="n"/>
      <c r="M135">
        <f>IF(AND(B135&lt;&gt;"",F135&lt;&gt;"7 Ganado",F135&lt;&gt;"8 Perdido"),1,0)</f>
        <v/>
      </c>
    </row>
    <row r="136">
      <c r="A136" s="17" t="n"/>
      <c r="B136" s="19" t="n"/>
      <c r="C136" s="19" t="n"/>
      <c r="D136" s="19" t="n"/>
      <c r="E136" s="19" t="n"/>
      <c r="F136" s="19" t="n"/>
      <c r="G136" s="19" t="n"/>
      <c r="H136" s="24">
        <f>IF(G136="","",IFERROR(VLOOKUP(G136,Parametros!$A$5:$B$10,2,FALSE),0))</f>
        <v/>
      </c>
      <c r="I136" s="19" t="n"/>
      <c r="J136" s="17" t="n"/>
      <c r="K136">
        <f>IF(OR(B136="",F136="7 Ganado",F136="8 Perdido"),"",IF(J136="","SIN FECHA",IF(J136&lt;Parametros!$B$2,"VENCIDO","OK")))</f>
        <v/>
      </c>
      <c r="L136" s="19" t="n"/>
      <c r="M136">
        <f>IF(AND(B136&lt;&gt;"",F136&lt;&gt;"7 Ganado",F136&lt;&gt;"8 Perdido"),1,0)</f>
        <v/>
      </c>
    </row>
    <row r="137">
      <c r="A137" s="17" t="n"/>
      <c r="B137" s="19" t="n"/>
      <c r="C137" s="19" t="n"/>
      <c r="D137" s="19" t="n"/>
      <c r="E137" s="19" t="n"/>
      <c r="F137" s="19" t="n"/>
      <c r="G137" s="19" t="n"/>
      <c r="H137" s="24">
        <f>IF(G137="","",IFERROR(VLOOKUP(G137,Parametros!$A$5:$B$10,2,FALSE),0))</f>
        <v/>
      </c>
      <c r="I137" s="19" t="n"/>
      <c r="J137" s="17" t="n"/>
      <c r="K137">
        <f>IF(OR(B137="",F137="7 Ganado",F137="8 Perdido"),"",IF(J137="","SIN FECHA",IF(J137&lt;Parametros!$B$2,"VENCIDO","OK")))</f>
        <v/>
      </c>
      <c r="L137" s="19" t="n"/>
      <c r="M137">
        <f>IF(AND(B137&lt;&gt;"",F137&lt;&gt;"7 Ganado",F137&lt;&gt;"8 Perdido"),1,0)</f>
        <v/>
      </c>
    </row>
    <row r="138">
      <c r="A138" s="17" t="n"/>
      <c r="B138" s="19" t="n"/>
      <c r="C138" s="19" t="n"/>
      <c r="D138" s="19" t="n"/>
      <c r="E138" s="19" t="n"/>
      <c r="F138" s="19" t="n"/>
      <c r="G138" s="19" t="n"/>
      <c r="H138" s="24">
        <f>IF(G138="","",IFERROR(VLOOKUP(G138,Parametros!$A$5:$B$10,2,FALSE),0))</f>
        <v/>
      </c>
      <c r="I138" s="19" t="n"/>
      <c r="J138" s="17" t="n"/>
      <c r="K138">
        <f>IF(OR(B138="",F138="7 Ganado",F138="8 Perdido"),"",IF(J138="","SIN FECHA",IF(J138&lt;Parametros!$B$2,"VENCIDO","OK")))</f>
        <v/>
      </c>
      <c r="L138" s="19" t="n"/>
      <c r="M138">
        <f>IF(AND(B138&lt;&gt;"",F138&lt;&gt;"7 Ganado",F138&lt;&gt;"8 Perdido"),1,0)</f>
        <v/>
      </c>
    </row>
    <row r="139">
      <c r="A139" s="17" t="n"/>
      <c r="B139" s="19" t="n"/>
      <c r="C139" s="19" t="n"/>
      <c r="D139" s="19" t="n"/>
      <c r="E139" s="19" t="n"/>
      <c r="F139" s="19" t="n"/>
      <c r="G139" s="19" t="n"/>
      <c r="H139" s="24">
        <f>IF(G139="","",IFERROR(VLOOKUP(G139,Parametros!$A$5:$B$10,2,FALSE),0))</f>
        <v/>
      </c>
      <c r="I139" s="19" t="n"/>
      <c r="J139" s="17" t="n"/>
      <c r="K139">
        <f>IF(OR(B139="",F139="7 Ganado",F139="8 Perdido"),"",IF(J139="","SIN FECHA",IF(J139&lt;Parametros!$B$2,"VENCIDO","OK")))</f>
        <v/>
      </c>
      <c r="L139" s="19" t="n"/>
      <c r="M139">
        <f>IF(AND(B139&lt;&gt;"",F139&lt;&gt;"7 Ganado",F139&lt;&gt;"8 Perdido"),1,0)</f>
        <v/>
      </c>
    </row>
    <row r="140">
      <c r="A140" s="17" t="n"/>
      <c r="B140" s="19" t="n"/>
      <c r="C140" s="19" t="n"/>
      <c r="D140" s="19" t="n"/>
      <c r="E140" s="19" t="n"/>
      <c r="F140" s="19" t="n"/>
      <c r="G140" s="19" t="n"/>
      <c r="H140" s="24">
        <f>IF(G140="","",IFERROR(VLOOKUP(G140,Parametros!$A$5:$B$10,2,FALSE),0))</f>
        <v/>
      </c>
      <c r="I140" s="19" t="n"/>
      <c r="J140" s="17" t="n"/>
      <c r="K140">
        <f>IF(OR(B140="",F140="7 Ganado",F140="8 Perdido"),"",IF(J140="","SIN FECHA",IF(J140&lt;Parametros!$B$2,"VENCIDO","OK")))</f>
        <v/>
      </c>
      <c r="L140" s="19" t="n"/>
      <c r="M140">
        <f>IF(AND(B140&lt;&gt;"",F140&lt;&gt;"7 Ganado",F140&lt;&gt;"8 Perdido"),1,0)</f>
        <v/>
      </c>
    </row>
    <row r="141">
      <c r="A141" s="17" t="n"/>
      <c r="B141" s="19" t="n"/>
      <c r="C141" s="19" t="n"/>
      <c r="D141" s="19" t="n"/>
      <c r="E141" s="19" t="n"/>
      <c r="F141" s="19" t="n"/>
      <c r="G141" s="19" t="n"/>
      <c r="H141" s="24">
        <f>IF(G141="","",IFERROR(VLOOKUP(G141,Parametros!$A$5:$B$10,2,FALSE),0))</f>
        <v/>
      </c>
      <c r="I141" s="19" t="n"/>
      <c r="J141" s="17" t="n"/>
      <c r="K141">
        <f>IF(OR(B141="",F141="7 Ganado",F141="8 Perdido"),"",IF(J141="","SIN FECHA",IF(J141&lt;Parametros!$B$2,"VENCIDO","OK")))</f>
        <v/>
      </c>
      <c r="L141" s="19" t="n"/>
      <c r="M141">
        <f>IF(AND(B141&lt;&gt;"",F141&lt;&gt;"7 Ganado",F141&lt;&gt;"8 Perdido"),1,0)</f>
        <v/>
      </c>
    </row>
    <row r="142">
      <c r="A142" s="17" t="n"/>
      <c r="B142" s="19" t="n"/>
      <c r="C142" s="19" t="n"/>
      <c r="D142" s="19" t="n"/>
      <c r="E142" s="19" t="n"/>
      <c r="F142" s="19" t="n"/>
      <c r="G142" s="19" t="n"/>
      <c r="H142" s="24">
        <f>IF(G142="","",IFERROR(VLOOKUP(G142,Parametros!$A$5:$B$10,2,FALSE),0))</f>
        <v/>
      </c>
      <c r="I142" s="19" t="n"/>
      <c r="J142" s="17" t="n"/>
      <c r="K142">
        <f>IF(OR(B142="",F142="7 Ganado",F142="8 Perdido"),"",IF(J142="","SIN FECHA",IF(J142&lt;Parametros!$B$2,"VENCIDO","OK")))</f>
        <v/>
      </c>
      <c r="L142" s="19" t="n"/>
      <c r="M142">
        <f>IF(AND(B142&lt;&gt;"",F142&lt;&gt;"7 Ganado",F142&lt;&gt;"8 Perdido"),1,0)</f>
        <v/>
      </c>
    </row>
    <row r="143">
      <c r="A143" s="17" t="n"/>
      <c r="B143" s="19" t="n"/>
      <c r="C143" s="19" t="n"/>
      <c r="D143" s="19" t="n"/>
      <c r="E143" s="19" t="n"/>
      <c r="F143" s="19" t="n"/>
      <c r="G143" s="19" t="n"/>
      <c r="H143" s="24">
        <f>IF(G143="","",IFERROR(VLOOKUP(G143,Parametros!$A$5:$B$10,2,FALSE),0))</f>
        <v/>
      </c>
      <c r="I143" s="19" t="n"/>
      <c r="J143" s="17" t="n"/>
      <c r="K143">
        <f>IF(OR(B143="",F143="7 Ganado",F143="8 Perdido"),"",IF(J143="","SIN FECHA",IF(J143&lt;Parametros!$B$2,"VENCIDO","OK")))</f>
        <v/>
      </c>
      <c r="L143" s="19" t="n"/>
      <c r="M143">
        <f>IF(AND(B143&lt;&gt;"",F143&lt;&gt;"7 Ganado",F143&lt;&gt;"8 Perdido"),1,0)</f>
        <v/>
      </c>
    </row>
    <row r="144">
      <c r="A144" s="17" t="n"/>
      <c r="B144" s="19" t="n"/>
      <c r="C144" s="19" t="n"/>
      <c r="D144" s="19" t="n"/>
      <c r="E144" s="19" t="n"/>
      <c r="F144" s="19" t="n"/>
      <c r="G144" s="19" t="n"/>
      <c r="H144" s="24">
        <f>IF(G144="","",IFERROR(VLOOKUP(G144,Parametros!$A$5:$B$10,2,FALSE),0))</f>
        <v/>
      </c>
      <c r="I144" s="19" t="n"/>
      <c r="J144" s="17" t="n"/>
      <c r="K144">
        <f>IF(OR(B144="",F144="7 Ganado",F144="8 Perdido"),"",IF(J144="","SIN FECHA",IF(J144&lt;Parametros!$B$2,"VENCIDO","OK")))</f>
        <v/>
      </c>
      <c r="L144" s="19" t="n"/>
      <c r="M144">
        <f>IF(AND(B144&lt;&gt;"",F144&lt;&gt;"7 Ganado",F144&lt;&gt;"8 Perdido"),1,0)</f>
        <v/>
      </c>
    </row>
    <row r="145">
      <c r="A145" s="17" t="n"/>
      <c r="B145" s="19" t="n"/>
      <c r="C145" s="19" t="n"/>
      <c r="D145" s="19" t="n"/>
      <c r="E145" s="19" t="n"/>
      <c r="F145" s="19" t="n"/>
      <c r="G145" s="19" t="n"/>
      <c r="H145" s="24">
        <f>IF(G145="","",IFERROR(VLOOKUP(G145,Parametros!$A$5:$B$10,2,FALSE),0))</f>
        <v/>
      </c>
      <c r="I145" s="19" t="n"/>
      <c r="J145" s="17" t="n"/>
      <c r="K145">
        <f>IF(OR(B145="",F145="7 Ganado",F145="8 Perdido"),"",IF(J145="","SIN FECHA",IF(J145&lt;Parametros!$B$2,"VENCIDO","OK")))</f>
        <v/>
      </c>
      <c r="L145" s="19" t="n"/>
      <c r="M145">
        <f>IF(AND(B145&lt;&gt;"",F145&lt;&gt;"7 Ganado",F145&lt;&gt;"8 Perdido"),1,0)</f>
        <v/>
      </c>
    </row>
    <row r="146">
      <c r="A146" s="17" t="n"/>
      <c r="B146" s="19" t="n"/>
      <c r="C146" s="19" t="n"/>
      <c r="D146" s="19" t="n"/>
      <c r="E146" s="19" t="n"/>
      <c r="F146" s="19" t="n"/>
      <c r="G146" s="19" t="n"/>
      <c r="H146" s="24">
        <f>IF(G146="","",IFERROR(VLOOKUP(G146,Parametros!$A$5:$B$10,2,FALSE),0))</f>
        <v/>
      </c>
      <c r="I146" s="19" t="n"/>
      <c r="J146" s="17" t="n"/>
      <c r="K146">
        <f>IF(OR(B146="",F146="7 Ganado",F146="8 Perdido"),"",IF(J146="","SIN FECHA",IF(J146&lt;Parametros!$B$2,"VENCIDO","OK")))</f>
        <v/>
      </c>
      <c r="L146" s="19" t="n"/>
      <c r="M146">
        <f>IF(AND(B146&lt;&gt;"",F146&lt;&gt;"7 Ganado",F146&lt;&gt;"8 Perdido"),1,0)</f>
        <v/>
      </c>
    </row>
    <row r="147">
      <c r="A147" s="17" t="n"/>
      <c r="B147" s="19" t="n"/>
      <c r="C147" s="19" t="n"/>
      <c r="D147" s="19" t="n"/>
      <c r="E147" s="19" t="n"/>
      <c r="F147" s="19" t="n"/>
      <c r="G147" s="19" t="n"/>
      <c r="H147" s="24">
        <f>IF(G147="","",IFERROR(VLOOKUP(G147,Parametros!$A$5:$B$10,2,FALSE),0))</f>
        <v/>
      </c>
      <c r="I147" s="19" t="n"/>
      <c r="J147" s="17" t="n"/>
      <c r="K147">
        <f>IF(OR(B147="",F147="7 Ganado",F147="8 Perdido"),"",IF(J147="","SIN FECHA",IF(J147&lt;Parametros!$B$2,"VENCIDO","OK")))</f>
        <v/>
      </c>
      <c r="L147" s="19" t="n"/>
      <c r="M147">
        <f>IF(AND(B147&lt;&gt;"",F147&lt;&gt;"7 Ganado",F147&lt;&gt;"8 Perdido"),1,0)</f>
        <v/>
      </c>
    </row>
    <row r="148">
      <c r="A148" s="17" t="n"/>
      <c r="B148" s="19" t="n"/>
      <c r="C148" s="19" t="n"/>
      <c r="D148" s="19" t="n"/>
      <c r="E148" s="19" t="n"/>
      <c r="F148" s="19" t="n"/>
      <c r="G148" s="19" t="n"/>
      <c r="H148" s="24">
        <f>IF(G148="","",IFERROR(VLOOKUP(G148,Parametros!$A$5:$B$10,2,FALSE),0))</f>
        <v/>
      </c>
      <c r="I148" s="19" t="n"/>
      <c r="J148" s="17" t="n"/>
      <c r="K148">
        <f>IF(OR(B148="",F148="7 Ganado",F148="8 Perdido"),"",IF(J148="","SIN FECHA",IF(J148&lt;Parametros!$B$2,"VENCIDO","OK")))</f>
        <v/>
      </c>
      <c r="L148" s="19" t="n"/>
      <c r="M148">
        <f>IF(AND(B148&lt;&gt;"",F148&lt;&gt;"7 Ganado",F148&lt;&gt;"8 Perdido"),1,0)</f>
        <v/>
      </c>
    </row>
    <row r="149">
      <c r="A149" s="17" t="n"/>
      <c r="B149" s="19" t="n"/>
      <c r="C149" s="19" t="n"/>
      <c r="D149" s="19" t="n"/>
      <c r="E149" s="19" t="n"/>
      <c r="F149" s="19" t="n"/>
      <c r="G149" s="19" t="n"/>
      <c r="H149" s="24">
        <f>IF(G149="","",IFERROR(VLOOKUP(G149,Parametros!$A$5:$B$10,2,FALSE),0))</f>
        <v/>
      </c>
      <c r="I149" s="19" t="n"/>
      <c r="J149" s="17" t="n"/>
      <c r="K149">
        <f>IF(OR(B149="",F149="7 Ganado",F149="8 Perdido"),"",IF(J149="","SIN FECHA",IF(J149&lt;Parametros!$B$2,"VENCIDO","OK")))</f>
        <v/>
      </c>
      <c r="L149" s="19" t="n"/>
      <c r="M149">
        <f>IF(AND(B149&lt;&gt;"",F149&lt;&gt;"7 Ganado",F149&lt;&gt;"8 Perdido"),1,0)</f>
        <v/>
      </c>
    </row>
    <row r="150">
      <c r="A150" s="17" t="n"/>
      <c r="B150" s="19" t="n"/>
      <c r="C150" s="19" t="n"/>
      <c r="D150" s="19" t="n"/>
      <c r="E150" s="19" t="n"/>
      <c r="F150" s="19" t="n"/>
      <c r="G150" s="19" t="n"/>
      <c r="H150" s="24">
        <f>IF(G150="","",IFERROR(VLOOKUP(G150,Parametros!$A$5:$B$10,2,FALSE),0))</f>
        <v/>
      </c>
      <c r="I150" s="19" t="n"/>
      <c r="J150" s="17" t="n"/>
      <c r="K150">
        <f>IF(OR(B150="",F150="7 Ganado",F150="8 Perdido"),"",IF(J150="","SIN FECHA",IF(J150&lt;Parametros!$B$2,"VENCIDO","OK")))</f>
        <v/>
      </c>
      <c r="L150" s="19" t="n"/>
      <c r="M150">
        <f>IF(AND(B150&lt;&gt;"",F150&lt;&gt;"7 Ganado",F150&lt;&gt;"8 Perdido"),1,0)</f>
        <v/>
      </c>
    </row>
    <row r="151">
      <c r="A151" s="17" t="n"/>
      <c r="B151" s="19" t="n"/>
      <c r="C151" s="19" t="n"/>
      <c r="D151" s="19" t="n"/>
      <c r="E151" s="19" t="n"/>
      <c r="F151" s="19" t="n"/>
      <c r="G151" s="19" t="n"/>
      <c r="H151" s="24">
        <f>IF(G151="","",IFERROR(VLOOKUP(G151,Parametros!$A$5:$B$10,2,FALSE),0))</f>
        <v/>
      </c>
      <c r="I151" s="19" t="n"/>
      <c r="J151" s="17" t="n"/>
      <c r="K151">
        <f>IF(OR(B151="",F151="7 Ganado",F151="8 Perdido"),"",IF(J151="","SIN FECHA",IF(J151&lt;Parametros!$B$2,"VENCIDO","OK")))</f>
        <v/>
      </c>
      <c r="L151" s="19" t="n"/>
      <c r="M151">
        <f>IF(AND(B151&lt;&gt;"",F151&lt;&gt;"7 Ganado",F151&lt;&gt;"8 Perdido"),1,0)</f>
        <v/>
      </c>
    </row>
    <row r="152">
      <c r="A152" s="17" t="n"/>
      <c r="B152" s="19" t="n"/>
      <c r="C152" s="19" t="n"/>
      <c r="D152" s="19" t="n"/>
      <c r="E152" s="19" t="n"/>
      <c r="F152" s="19" t="n"/>
      <c r="G152" s="19" t="n"/>
      <c r="H152" s="24">
        <f>IF(G152="","",IFERROR(VLOOKUP(G152,Parametros!$A$5:$B$10,2,FALSE),0))</f>
        <v/>
      </c>
      <c r="I152" s="19" t="n"/>
      <c r="J152" s="17" t="n"/>
      <c r="K152">
        <f>IF(OR(B152="",F152="7 Ganado",F152="8 Perdido"),"",IF(J152="","SIN FECHA",IF(J152&lt;Parametros!$B$2,"VENCIDO","OK")))</f>
        <v/>
      </c>
      <c r="L152" s="19" t="n"/>
      <c r="M152">
        <f>IF(AND(B152&lt;&gt;"",F152&lt;&gt;"7 Ganado",F152&lt;&gt;"8 Perdido"),1,0)</f>
        <v/>
      </c>
    </row>
    <row r="153">
      <c r="A153" s="17" t="n"/>
      <c r="B153" s="19" t="n"/>
      <c r="C153" s="19" t="n"/>
      <c r="D153" s="19" t="n"/>
      <c r="E153" s="19" t="n"/>
      <c r="F153" s="19" t="n"/>
      <c r="G153" s="19" t="n"/>
      <c r="H153" s="24">
        <f>IF(G153="","",IFERROR(VLOOKUP(G153,Parametros!$A$5:$B$10,2,FALSE),0))</f>
        <v/>
      </c>
      <c r="I153" s="19" t="n"/>
      <c r="J153" s="17" t="n"/>
      <c r="K153">
        <f>IF(OR(B153="",F153="7 Ganado",F153="8 Perdido"),"",IF(J153="","SIN FECHA",IF(J153&lt;Parametros!$B$2,"VENCIDO","OK")))</f>
        <v/>
      </c>
      <c r="L153" s="19" t="n"/>
      <c r="M153">
        <f>IF(AND(B153&lt;&gt;"",F153&lt;&gt;"7 Ganado",F153&lt;&gt;"8 Perdido"),1,0)</f>
        <v/>
      </c>
    </row>
    <row r="154">
      <c r="A154" s="17" t="n"/>
      <c r="B154" s="19" t="n"/>
      <c r="C154" s="19" t="n"/>
      <c r="D154" s="19" t="n"/>
      <c r="E154" s="19" t="n"/>
      <c r="F154" s="19" t="n"/>
      <c r="G154" s="19" t="n"/>
      <c r="H154" s="24">
        <f>IF(G154="","",IFERROR(VLOOKUP(G154,Parametros!$A$5:$B$10,2,FALSE),0))</f>
        <v/>
      </c>
      <c r="I154" s="19" t="n"/>
      <c r="J154" s="17" t="n"/>
      <c r="K154">
        <f>IF(OR(B154="",F154="7 Ganado",F154="8 Perdido"),"",IF(J154="","SIN FECHA",IF(J154&lt;Parametros!$B$2,"VENCIDO","OK")))</f>
        <v/>
      </c>
      <c r="L154" s="19" t="n"/>
      <c r="M154">
        <f>IF(AND(B154&lt;&gt;"",F154&lt;&gt;"7 Ganado",F154&lt;&gt;"8 Perdido"),1,0)</f>
        <v/>
      </c>
    </row>
    <row r="155">
      <c r="A155" s="17" t="n"/>
      <c r="B155" s="19" t="n"/>
      <c r="C155" s="19" t="n"/>
      <c r="D155" s="19" t="n"/>
      <c r="E155" s="19" t="n"/>
      <c r="F155" s="19" t="n"/>
      <c r="G155" s="19" t="n"/>
      <c r="H155" s="24">
        <f>IF(G155="","",IFERROR(VLOOKUP(G155,Parametros!$A$5:$B$10,2,FALSE),0))</f>
        <v/>
      </c>
      <c r="I155" s="19" t="n"/>
      <c r="J155" s="17" t="n"/>
      <c r="K155">
        <f>IF(OR(B155="",F155="7 Ganado",F155="8 Perdido"),"",IF(J155="","SIN FECHA",IF(J155&lt;Parametros!$B$2,"VENCIDO","OK")))</f>
        <v/>
      </c>
      <c r="L155" s="19" t="n"/>
      <c r="M155">
        <f>IF(AND(B155&lt;&gt;"",F155&lt;&gt;"7 Ganado",F155&lt;&gt;"8 Perdido"),1,0)</f>
        <v/>
      </c>
    </row>
    <row r="156">
      <c r="A156" s="17" t="n"/>
      <c r="B156" s="19" t="n"/>
      <c r="C156" s="19" t="n"/>
      <c r="D156" s="19" t="n"/>
      <c r="E156" s="19" t="n"/>
      <c r="F156" s="19" t="n"/>
      <c r="G156" s="19" t="n"/>
      <c r="H156" s="24">
        <f>IF(G156="","",IFERROR(VLOOKUP(G156,Parametros!$A$5:$B$10,2,FALSE),0))</f>
        <v/>
      </c>
      <c r="I156" s="19" t="n"/>
      <c r="J156" s="17" t="n"/>
      <c r="K156">
        <f>IF(OR(B156="",F156="7 Ganado",F156="8 Perdido"),"",IF(J156="","SIN FECHA",IF(J156&lt;Parametros!$B$2,"VENCIDO","OK")))</f>
        <v/>
      </c>
      <c r="L156" s="19" t="n"/>
      <c r="M156">
        <f>IF(AND(B156&lt;&gt;"",F156&lt;&gt;"7 Ganado",F156&lt;&gt;"8 Perdido"),1,0)</f>
        <v/>
      </c>
    </row>
    <row r="157">
      <c r="A157" s="17" t="n"/>
      <c r="B157" s="19" t="n"/>
      <c r="C157" s="19" t="n"/>
      <c r="D157" s="19" t="n"/>
      <c r="E157" s="19" t="n"/>
      <c r="F157" s="19" t="n"/>
      <c r="G157" s="19" t="n"/>
      <c r="H157" s="24">
        <f>IF(G157="","",IFERROR(VLOOKUP(G157,Parametros!$A$5:$B$10,2,FALSE),0))</f>
        <v/>
      </c>
      <c r="I157" s="19" t="n"/>
      <c r="J157" s="17" t="n"/>
      <c r="K157">
        <f>IF(OR(B157="",F157="7 Ganado",F157="8 Perdido"),"",IF(J157="","SIN FECHA",IF(J157&lt;Parametros!$B$2,"VENCIDO","OK")))</f>
        <v/>
      </c>
      <c r="L157" s="19" t="n"/>
      <c r="M157">
        <f>IF(AND(B157&lt;&gt;"",F157&lt;&gt;"7 Ganado",F157&lt;&gt;"8 Perdido"),1,0)</f>
        <v/>
      </c>
    </row>
    <row r="158">
      <c r="A158" s="17" t="n"/>
      <c r="B158" s="19" t="n"/>
      <c r="C158" s="19" t="n"/>
      <c r="D158" s="19" t="n"/>
      <c r="E158" s="19" t="n"/>
      <c r="F158" s="19" t="n"/>
      <c r="G158" s="19" t="n"/>
      <c r="H158" s="24">
        <f>IF(G158="","",IFERROR(VLOOKUP(G158,Parametros!$A$5:$B$10,2,FALSE),0))</f>
        <v/>
      </c>
      <c r="I158" s="19" t="n"/>
      <c r="J158" s="17" t="n"/>
      <c r="K158">
        <f>IF(OR(B158="",F158="7 Ganado",F158="8 Perdido"),"",IF(J158="","SIN FECHA",IF(J158&lt;Parametros!$B$2,"VENCIDO","OK")))</f>
        <v/>
      </c>
      <c r="L158" s="19" t="n"/>
      <c r="M158">
        <f>IF(AND(B158&lt;&gt;"",F158&lt;&gt;"7 Ganado",F158&lt;&gt;"8 Perdido"),1,0)</f>
        <v/>
      </c>
    </row>
    <row r="159">
      <c r="A159" s="17" t="n"/>
      <c r="B159" s="19" t="n"/>
      <c r="C159" s="19" t="n"/>
      <c r="D159" s="19" t="n"/>
      <c r="E159" s="19" t="n"/>
      <c r="F159" s="19" t="n"/>
      <c r="G159" s="19" t="n"/>
      <c r="H159" s="24">
        <f>IF(G159="","",IFERROR(VLOOKUP(G159,Parametros!$A$5:$B$10,2,FALSE),0))</f>
        <v/>
      </c>
      <c r="I159" s="19" t="n"/>
      <c r="J159" s="17" t="n"/>
      <c r="K159">
        <f>IF(OR(B159="",F159="7 Ganado",F159="8 Perdido"),"",IF(J159="","SIN FECHA",IF(J159&lt;Parametros!$B$2,"VENCIDO","OK")))</f>
        <v/>
      </c>
      <c r="L159" s="19" t="n"/>
      <c r="M159">
        <f>IF(AND(B159&lt;&gt;"",F159&lt;&gt;"7 Ganado",F159&lt;&gt;"8 Perdido"),1,0)</f>
        <v/>
      </c>
    </row>
    <row r="160">
      <c r="A160" s="17" t="n"/>
      <c r="B160" s="19" t="n"/>
      <c r="C160" s="19" t="n"/>
      <c r="D160" s="19" t="n"/>
      <c r="E160" s="19" t="n"/>
      <c r="F160" s="19" t="n"/>
      <c r="G160" s="19" t="n"/>
      <c r="H160" s="24">
        <f>IF(G160="","",IFERROR(VLOOKUP(G160,Parametros!$A$5:$B$10,2,FALSE),0))</f>
        <v/>
      </c>
      <c r="I160" s="19" t="n"/>
      <c r="J160" s="17" t="n"/>
      <c r="K160">
        <f>IF(OR(B160="",F160="7 Ganado",F160="8 Perdido"),"",IF(J160="","SIN FECHA",IF(J160&lt;Parametros!$B$2,"VENCIDO","OK")))</f>
        <v/>
      </c>
      <c r="L160" s="19" t="n"/>
      <c r="M160">
        <f>IF(AND(B160&lt;&gt;"",F160&lt;&gt;"7 Ganado",F160&lt;&gt;"8 Perdido"),1,0)</f>
        <v/>
      </c>
    </row>
    <row r="161">
      <c r="A161" s="17" t="n"/>
      <c r="B161" s="19" t="n"/>
      <c r="C161" s="19" t="n"/>
      <c r="D161" s="19" t="n"/>
      <c r="E161" s="19" t="n"/>
      <c r="F161" s="19" t="n"/>
      <c r="G161" s="19" t="n"/>
      <c r="H161" s="24">
        <f>IF(G161="","",IFERROR(VLOOKUP(G161,Parametros!$A$5:$B$10,2,FALSE),0))</f>
        <v/>
      </c>
      <c r="I161" s="19" t="n"/>
      <c r="J161" s="17" t="n"/>
      <c r="K161">
        <f>IF(OR(B161="",F161="7 Ganado",F161="8 Perdido"),"",IF(J161="","SIN FECHA",IF(J161&lt;Parametros!$B$2,"VENCIDO","OK")))</f>
        <v/>
      </c>
      <c r="L161" s="19" t="n"/>
      <c r="M161">
        <f>IF(AND(B161&lt;&gt;"",F161&lt;&gt;"7 Ganado",F161&lt;&gt;"8 Perdido"),1,0)</f>
        <v/>
      </c>
    </row>
    <row r="162">
      <c r="A162" s="17" t="n"/>
      <c r="B162" s="19" t="n"/>
      <c r="C162" s="19" t="n"/>
      <c r="D162" s="19" t="n"/>
      <c r="E162" s="19" t="n"/>
      <c r="F162" s="19" t="n"/>
      <c r="G162" s="19" t="n"/>
      <c r="H162" s="24">
        <f>IF(G162="","",IFERROR(VLOOKUP(G162,Parametros!$A$5:$B$10,2,FALSE),0))</f>
        <v/>
      </c>
      <c r="I162" s="19" t="n"/>
      <c r="J162" s="17" t="n"/>
      <c r="K162">
        <f>IF(OR(B162="",F162="7 Ganado",F162="8 Perdido"),"",IF(J162="","SIN FECHA",IF(J162&lt;Parametros!$B$2,"VENCIDO","OK")))</f>
        <v/>
      </c>
      <c r="L162" s="19" t="n"/>
      <c r="M162">
        <f>IF(AND(B162&lt;&gt;"",F162&lt;&gt;"7 Ganado",F162&lt;&gt;"8 Perdido"),1,0)</f>
        <v/>
      </c>
    </row>
    <row r="163">
      <c r="A163" s="17" t="n"/>
      <c r="B163" s="19" t="n"/>
      <c r="C163" s="19" t="n"/>
      <c r="D163" s="19" t="n"/>
      <c r="E163" s="19" t="n"/>
      <c r="F163" s="19" t="n"/>
      <c r="G163" s="19" t="n"/>
      <c r="H163" s="24">
        <f>IF(G163="","",IFERROR(VLOOKUP(G163,Parametros!$A$5:$B$10,2,FALSE),0))</f>
        <v/>
      </c>
      <c r="I163" s="19" t="n"/>
      <c r="J163" s="17" t="n"/>
      <c r="K163">
        <f>IF(OR(B163="",F163="7 Ganado",F163="8 Perdido"),"",IF(J163="","SIN FECHA",IF(J163&lt;Parametros!$B$2,"VENCIDO","OK")))</f>
        <v/>
      </c>
      <c r="L163" s="19" t="n"/>
      <c r="M163">
        <f>IF(AND(B163&lt;&gt;"",F163&lt;&gt;"7 Ganado",F163&lt;&gt;"8 Perdido"),1,0)</f>
        <v/>
      </c>
    </row>
    <row r="164">
      <c r="A164" s="17" t="n"/>
      <c r="B164" s="19" t="n"/>
      <c r="C164" s="19" t="n"/>
      <c r="D164" s="19" t="n"/>
      <c r="E164" s="19" t="n"/>
      <c r="F164" s="19" t="n"/>
      <c r="G164" s="19" t="n"/>
      <c r="H164" s="24">
        <f>IF(G164="","",IFERROR(VLOOKUP(G164,Parametros!$A$5:$B$10,2,FALSE),0))</f>
        <v/>
      </c>
      <c r="I164" s="19" t="n"/>
      <c r="J164" s="17" t="n"/>
      <c r="K164">
        <f>IF(OR(B164="",F164="7 Ganado",F164="8 Perdido"),"",IF(J164="","SIN FECHA",IF(J164&lt;Parametros!$B$2,"VENCIDO","OK")))</f>
        <v/>
      </c>
      <c r="L164" s="19" t="n"/>
      <c r="M164">
        <f>IF(AND(B164&lt;&gt;"",F164&lt;&gt;"7 Ganado",F164&lt;&gt;"8 Perdido"),1,0)</f>
        <v/>
      </c>
    </row>
    <row r="165">
      <c r="A165" s="17" t="n"/>
      <c r="B165" s="19" t="n"/>
      <c r="C165" s="19" t="n"/>
      <c r="D165" s="19" t="n"/>
      <c r="E165" s="19" t="n"/>
      <c r="F165" s="19" t="n"/>
      <c r="G165" s="19" t="n"/>
      <c r="H165" s="24">
        <f>IF(G165="","",IFERROR(VLOOKUP(G165,Parametros!$A$5:$B$10,2,FALSE),0))</f>
        <v/>
      </c>
      <c r="I165" s="19" t="n"/>
      <c r="J165" s="17" t="n"/>
      <c r="K165">
        <f>IF(OR(B165="",F165="7 Ganado",F165="8 Perdido"),"",IF(J165="","SIN FECHA",IF(J165&lt;Parametros!$B$2,"VENCIDO","OK")))</f>
        <v/>
      </c>
      <c r="L165" s="19" t="n"/>
      <c r="M165">
        <f>IF(AND(B165&lt;&gt;"",F165&lt;&gt;"7 Ganado",F165&lt;&gt;"8 Perdido"),1,0)</f>
        <v/>
      </c>
    </row>
    <row r="166">
      <c r="A166" s="17" t="n"/>
      <c r="B166" s="19" t="n"/>
      <c r="C166" s="19" t="n"/>
      <c r="D166" s="19" t="n"/>
      <c r="E166" s="19" t="n"/>
      <c r="F166" s="19" t="n"/>
      <c r="G166" s="19" t="n"/>
      <c r="H166" s="24">
        <f>IF(G166="","",IFERROR(VLOOKUP(G166,Parametros!$A$5:$B$10,2,FALSE),0))</f>
        <v/>
      </c>
      <c r="I166" s="19" t="n"/>
      <c r="J166" s="17" t="n"/>
      <c r="K166">
        <f>IF(OR(B166="",F166="7 Ganado",F166="8 Perdido"),"",IF(J166="","SIN FECHA",IF(J166&lt;Parametros!$B$2,"VENCIDO","OK")))</f>
        <v/>
      </c>
      <c r="L166" s="19" t="n"/>
      <c r="M166">
        <f>IF(AND(B166&lt;&gt;"",F166&lt;&gt;"7 Ganado",F166&lt;&gt;"8 Perdido"),1,0)</f>
        <v/>
      </c>
    </row>
    <row r="167">
      <c r="A167" s="17" t="n"/>
      <c r="B167" s="19" t="n"/>
      <c r="C167" s="19" t="n"/>
      <c r="D167" s="19" t="n"/>
      <c r="E167" s="19" t="n"/>
      <c r="F167" s="19" t="n"/>
      <c r="G167" s="19" t="n"/>
      <c r="H167" s="24">
        <f>IF(G167="","",IFERROR(VLOOKUP(G167,Parametros!$A$5:$B$10,2,FALSE),0))</f>
        <v/>
      </c>
      <c r="I167" s="19" t="n"/>
      <c r="J167" s="17" t="n"/>
      <c r="K167">
        <f>IF(OR(B167="",F167="7 Ganado",F167="8 Perdido"),"",IF(J167="","SIN FECHA",IF(J167&lt;Parametros!$B$2,"VENCIDO","OK")))</f>
        <v/>
      </c>
      <c r="L167" s="19" t="n"/>
      <c r="M167">
        <f>IF(AND(B167&lt;&gt;"",F167&lt;&gt;"7 Ganado",F167&lt;&gt;"8 Perdido"),1,0)</f>
        <v/>
      </c>
    </row>
    <row r="168">
      <c r="A168" s="17" t="n"/>
      <c r="B168" s="19" t="n"/>
      <c r="C168" s="19" t="n"/>
      <c r="D168" s="19" t="n"/>
      <c r="E168" s="19" t="n"/>
      <c r="F168" s="19" t="n"/>
      <c r="G168" s="19" t="n"/>
      <c r="H168" s="24">
        <f>IF(G168="","",IFERROR(VLOOKUP(G168,Parametros!$A$5:$B$10,2,FALSE),0))</f>
        <v/>
      </c>
      <c r="I168" s="19" t="n"/>
      <c r="J168" s="17" t="n"/>
      <c r="K168">
        <f>IF(OR(B168="",F168="7 Ganado",F168="8 Perdido"),"",IF(J168="","SIN FECHA",IF(J168&lt;Parametros!$B$2,"VENCIDO","OK")))</f>
        <v/>
      </c>
      <c r="L168" s="19" t="n"/>
      <c r="M168">
        <f>IF(AND(B168&lt;&gt;"",F168&lt;&gt;"7 Ganado",F168&lt;&gt;"8 Perdido"),1,0)</f>
        <v/>
      </c>
    </row>
    <row r="169">
      <c r="A169" s="17" t="n"/>
      <c r="B169" s="19" t="n"/>
      <c r="C169" s="19" t="n"/>
      <c r="D169" s="19" t="n"/>
      <c r="E169" s="19" t="n"/>
      <c r="F169" s="19" t="n"/>
      <c r="G169" s="19" t="n"/>
      <c r="H169" s="24">
        <f>IF(G169="","",IFERROR(VLOOKUP(G169,Parametros!$A$5:$B$10,2,FALSE),0))</f>
        <v/>
      </c>
      <c r="I169" s="19" t="n"/>
      <c r="J169" s="17" t="n"/>
      <c r="K169">
        <f>IF(OR(B169="",F169="7 Ganado",F169="8 Perdido"),"",IF(J169="","SIN FECHA",IF(J169&lt;Parametros!$B$2,"VENCIDO","OK")))</f>
        <v/>
      </c>
      <c r="L169" s="19" t="n"/>
      <c r="M169">
        <f>IF(AND(B169&lt;&gt;"",F169&lt;&gt;"7 Ganado",F169&lt;&gt;"8 Perdido"),1,0)</f>
        <v/>
      </c>
    </row>
    <row r="170">
      <c r="A170" s="17" t="n"/>
      <c r="B170" s="19" t="n"/>
      <c r="C170" s="19" t="n"/>
      <c r="D170" s="19" t="n"/>
      <c r="E170" s="19" t="n"/>
      <c r="F170" s="19" t="n"/>
      <c r="G170" s="19" t="n"/>
      <c r="H170" s="24">
        <f>IF(G170="","",IFERROR(VLOOKUP(G170,Parametros!$A$5:$B$10,2,FALSE),0))</f>
        <v/>
      </c>
      <c r="I170" s="19" t="n"/>
      <c r="J170" s="17" t="n"/>
      <c r="K170">
        <f>IF(OR(B170="",F170="7 Ganado",F170="8 Perdido"),"",IF(J170="","SIN FECHA",IF(J170&lt;Parametros!$B$2,"VENCIDO","OK")))</f>
        <v/>
      </c>
      <c r="L170" s="19" t="n"/>
      <c r="M170">
        <f>IF(AND(B170&lt;&gt;"",F170&lt;&gt;"7 Ganado",F170&lt;&gt;"8 Perdido"),1,0)</f>
        <v/>
      </c>
    </row>
    <row r="171">
      <c r="A171" s="17" t="n"/>
      <c r="B171" s="19" t="n"/>
      <c r="C171" s="19" t="n"/>
      <c r="D171" s="19" t="n"/>
      <c r="E171" s="19" t="n"/>
      <c r="F171" s="19" t="n"/>
      <c r="G171" s="19" t="n"/>
      <c r="H171" s="24">
        <f>IF(G171="","",IFERROR(VLOOKUP(G171,Parametros!$A$5:$B$10,2,FALSE),0))</f>
        <v/>
      </c>
      <c r="I171" s="19" t="n"/>
      <c r="J171" s="17" t="n"/>
      <c r="K171">
        <f>IF(OR(B171="",F171="7 Ganado",F171="8 Perdido"),"",IF(J171="","SIN FECHA",IF(J171&lt;Parametros!$B$2,"VENCIDO","OK")))</f>
        <v/>
      </c>
      <c r="L171" s="19" t="n"/>
      <c r="M171">
        <f>IF(AND(B171&lt;&gt;"",F171&lt;&gt;"7 Ganado",F171&lt;&gt;"8 Perdido"),1,0)</f>
        <v/>
      </c>
    </row>
    <row r="172">
      <c r="A172" s="17" t="n"/>
      <c r="B172" s="19" t="n"/>
      <c r="C172" s="19" t="n"/>
      <c r="D172" s="19" t="n"/>
      <c r="E172" s="19" t="n"/>
      <c r="F172" s="19" t="n"/>
      <c r="G172" s="19" t="n"/>
      <c r="H172" s="24">
        <f>IF(G172="","",IFERROR(VLOOKUP(G172,Parametros!$A$5:$B$10,2,FALSE),0))</f>
        <v/>
      </c>
      <c r="I172" s="19" t="n"/>
      <c r="J172" s="17" t="n"/>
      <c r="K172">
        <f>IF(OR(B172="",F172="7 Ganado",F172="8 Perdido"),"",IF(J172="","SIN FECHA",IF(J172&lt;Parametros!$B$2,"VENCIDO","OK")))</f>
        <v/>
      </c>
      <c r="L172" s="19" t="n"/>
      <c r="M172">
        <f>IF(AND(B172&lt;&gt;"",F172&lt;&gt;"7 Ganado",F172&lt;&gt;"8 Perdido"),1,0)</f>
        <v/>
      </c>
    </row>
    <row r="173">
      <c r="A173" s="17" t="n"/>
      <c r="B173" s="19" t="n"/>
      <c r="C173" s="19" t="n"/>
      <c r="D173" s="19" t="n"/>
      <c r="E173" s="19" t="n"/>
      <c r="F173" s="19" t="n"/>
      <c r="G173" s="19" t="n"/>
      <c r="H173" s="24">
        <f>IF(G173="","",IFERROR(VLOOKUP(G173,Parametros!$A$5:$B$10,2,FALSE),0))</f>
        <v/>
      </c>
      <c r="I173" s="19" t="n"/>
      <c r="J173" s="17" t="n"/>
      <c r="K173">
        <f>IF(OR(B173="",F173="7 Ganado",F173="8 Perdido"),"",IF(J173="","SIN FECHA",IF(J173&lt;Parametros!$B$2,"VENCIDO","OK")))</f>
        <v/>
      </c>
      <c r="L173" s="19" t="n"/>
      <c r="M173">
        <f>IF(AND(B173&lt;&gt;"",F173&lt;&gt;"7 Ganado",F173&lt;&gt;"8 Perdido"),1,0)</f>
        <v/>
      </c>
    </row>
    <row r="174">
      <c r="A174" s="17" t="n"/>
      <c r="B174" s="19" t="n"/>
      <c r="C174" s="19" t="n"/>
      <c r="D174" s="19" t="n"/>
      <c r="E174" s="19" t="n"/>
      <c r="F174" s="19" t="n"/>
      <c r="G174" s="19" t="n"/>
      <c r="H174" s="24">
        <f>IF(G174="","",IFERROR(VLOOKUP(G174,Parametros!$A$5:$B$10,2,FALSE),0))</f>
        <v/>
      </c>
      <c r="I174" s="19" t="n"/>
      <c r="J174" s="17" t="n"/>
      <c r="K174">
        <f>IF(OR(B174="",F174="7 Ganado",F174="8 Perdido"),"",IF(J174="","SIN FECHA",IF(J174&lt;Parametros!$B$2,"VENCIDO","OK")))</f>
        <v/>
      </c>
      <c r="L174" s="19" t="n"/>
      <c r="M174">
        <f>IF(AND(B174&lt;&gt;"",F174&lt;&gt;"7 Ganado",F174&lt;&gt;"8 Perdido"),1,0)</f>
        <v/>
      </c>
    </row>
    <row r="175">
      <c r="A175" s="17" t="n"/>
      <c r="B175" s="19" t="n"/>
      <c r="C175" s="19" t="n"/>
      <c r="D175" s="19" t="n"/>
      <c r="E175" s="19" t="n"/>
      <c r="F175" s="19" t="n"/>
      <c r="G175" s="19" t="n"/>
      <c r="H175" s="24">
        <f>IF(G175="","",IFERROR(VLOOKUP(G175,Parametros!$A$5:$B$10,2,FALSE),0))</f>
        <v/>
      </c>
      <c r="I175" s="19" t="n"/>
      <c r="J175" s="17" t="n"/>
      <c r="K175">
        <f>IF(OR(B175="",F175="7 Ganado",F175="8 Perdido"),"",IF(J175="","SIN FECHA",IF(J175&lt;Parametros!$B$2,"VENCIDO","OK")))</f>
        <v/>
      </c>
      <c r="L175" s="19" t="n"/>
      <c r="M175">
        <f>IF(AND(B175&lt;&gt;"",F175&lt;&gt;"7 Ganado",F175&lt;&gt;"8 Perdido"),1,0)</f>
        <v/>
      </c>
    </row>
    <row r="176">
      <c r="A176" s="17" t="n"/>
      <c r="B176" s="19" t="n"/>
      <c r="C176" s="19" t="n"/>
      <c r="D176" s="19" t="n"/>
      <c r="E176" s="19" t="n"/>
      <c r="F176" s="19" t="n"/>
      <c r="G176" s="19" t="n"/>
      <c r="H176" s="24">
        <f>IF(G176="","",IFERROR(VLOOKUP(G176,Parametros!$A$5:$B$10,2,FALSE),0))</f>
        <v/>
      </c>
      <c r="I176" s="19" t="n"/>
      <c r="J176" s="17" t="n"/>
      <c r="K176">
        <f>IF(OR(B176="",F176="7 Ganado",F176="8 Perdido"),"",IF(J176="","SIN FECHA",IF(J176&lt;Parametros!$B$2,"VENCIDO","OK")))</f>
        <v/>
      </c>
      <c r="L176" s="19" t="n"/>
      <c r="M176">
        <f>IF(AND(B176&lt;&gt;"",F176&lt;&gt;"7 Ganado",F176&lt;&gt;"8 Perdido"),1,0)</f>
        <v/>
      </c>
    </row>
    <row r="177">
      <c r="A177" s="17" t="n"/>
      <c r="B177" s="19" t="n"/>
      <c r="C177" s="19" t="n"/>
      <c r="D177" s="19" t="n"/>
      <c r="E177" s="19" t="n"/>
      <c r="F177" s="19" t="n"/>
      <c r="G177" s="19" t="n"/>
      <c r="H177" s="24">
        <f>IF(G177="","",IFERROR(VLOOKUP(G177,Parametros!$A$5:$B$10,2,FALSE),0))</f>
        <v/>
      </c>
      <c r="I177" s="19" t="n"/>
      <c r="J177" s="17" t="n"/>
      <c r="K177">
        <f>IF(OR(B177="",F177="7 Ganado",F177="8 Perdido"),"",IF(J177="","SIN FECHA",IF(J177&lt;Parametros!$B$2,"VENCIDO","OK")))</f>
        <v/>
      </c>
      <c r="L177" s="19" t="n"/>
      <c r="M177">
        <f>IF(AND(B177&lt;&gt;"",F177&lt;&gt;"7 Ganado",F177&lt;&gt;"8 Perdido"),1,0)</f>
        <v/>
      </c>
    </row>
    <row r="178">
      <c r="A178" s="17" t="n"/>
      <c r="B178" s="19" t="n"/>
      <c r="C178" s="19" t="n"/>
      <c r="D178" s="19" t="n"/>
      <c r="E178" s="19" t="n"/>
      <c r="F178" s="19" t="n"/>
      <c r="G178" s="19" t="n"/>
      <c r="H178" s="24">
        <f>IF(G178="","",IFERROR(VLOOKUP(G178,Parametros!$A$5:$B$10,2,FALSE),0))</f>
        <v/>
      </c>
      <c r="I178" s="19" t="n"/>
      <c r="J178" s="17" t="n"/>
      <c r="K178">
        <f>IF(OR(B178="",F178="7 Ganado",F178="8 Perdido"),"",IF(J178="","SIN FECHA",IF(J178&lt;Parametros!$B$2,"VENCIDO","OK")))</f>
        <v/>
      </c>
      <c r="L178" s="19" t="n"/>
      <c r="M178">
        <f>IF(AND(B178&lt;&gt;"",F178&lt;&gt;"7 Ganado",F178&lt;&gt;"8 Perdido"),1,0)</f>
        <v/>
      </c>
    </row>
    <row r="179">
      <c r="A179" s="17" t="n"/>
      <c r="B179" s="19" t="n"/>
      <c r="C179" s="19" t="n"/>
      <c r="D179" s="19" t="n"/>
      <c r="E179" s="19" t="n"/>
      <c r="F179" s="19" t="n"/>
      <c r="G179" s="19" t="n"/>
      <c r="H179" s="24">
        <f>IF(G179="","",IFERROR(VLOOKUP(G179,Parametros!$A$5:$B$10,2,FALSE),0))</f>
        <v/>
      </c>
      <c r="I179" s="19" t="n"/>
      <c r="J179" s="17" t="n"/>
      <c r="K179">
        <f>IF(OR(B179="",F179="7 Ganado",F179="8 Perdido"),"",IF(J179="","SIN FECHA",IF(J179&lt;Parametros!$B$2,"VENCIDO","OK")))</f>
        <v/>
      </c>
      <c r="L179" s="19" t="n"/>
      <c r="M179">
        <f>IF(AND(B179&lt;&gt;"",F179&lt;&gt;"7 Ganado",F179&lt;&gt;"8 Perdido"),1,0)</f>
        <v/>
      </c>
    </row>
    <row r="180">
      <c r="A180" s="17" t="n"/>
      <c r="B180" s="19" t="n"/>
      <c r="C180" s="19" t="n"/>
      <c r="D180" s="19" t="n"/>
      <c r="E180" s="19" t="n"/>
      <c r="F180" s="19" t="n"/>
      <c r="G180" s="19" t="n"/>
      <c r="H180" s="24">
        <f>IF(G180="","",IFERROR(VLOOKUP(G180,Parametros!$A$5:$B$10,2,FALSE),0))</f>
        <v/>
      </c>
      <c r="I180" s="19" t="n"/>
      <c r="J180" s="17" t="n"/>
      <c r="K180">
        <f>IF(OR(B180="",F180="7 Ganado",F180="8 Perdido"),"",IF(J180="","SIN FECHA",IF(J180&lt;Parametros!$B$2,"VENCIDO","OK")))</f>
        <v/>
      </c>
      <c r="L180" s="19" t="n"/>
      <c r="M180">
        <f>IF(AND(B180&lt;&gt;"",F180&lt;&gt;"7 Ganado",F180&lt;&gt;"8 Perdido"),1,0)</f>
        <v/>
      </c>
    </row>
    <row r="181">
      <c r="A181" s="17" t="n"/>
      <c r="B181" s="19" t="n"/>
      <c r="C181" s="19" t="n"/>
      <c r="D181" s="19" t="n"/>
      <c r="E181" s="19" t="n"/>
      <c r="F181" s="19" t="n"/>
      <c r="G181" s="19" t="n"/>
      <c r="H181" s="24">
        <f>IF(G181="","",IFERROR(VLOOKUP(G181,Parametros!$A$5:$B$10,2,FALSE),0))</f>
        <v/>
      </c>
      <c r="I181" s="19" t="n"/>
      <c r="J181" s="17" t="n"/>
      <c r="K181">
        <f>IF(OR(B181="",F181="7 Ganado",F181="8 Perdido"),"",IF(J181="","SIN FECHA",IF(J181&lt;Parametros!$B$2,"VENCIDO","OK")))</f>
        <v/>
      </c>
      <c r="L181" s="19" t="n"/>
      <c r="M181">
        <f>IF(AND(B181&lt;&gt;"",F181&lt;&gt;"7 Ganado",F181&lt;&gt;"8 Perdido"),1,0)</f>
        <v/>
      </c>
    </row>
    <row r="182">
      <c r="A182" s="17" t="n"/>
      <c r="B182" s="19" t="n"/>
      <c r="C182" s="19" t="n"/>
      <c r="D182" s="19" t="n"/>
      <c r="E182" s="19" t="n"/>
      <c r="F182" s="19" t="n"/>
      <c r="G182" s="19" t="n"/>
      <c r="H182" s="24">
        <f>IF(G182="","",IFERROR(VLOOKUP(G182,Parametros!$A$5:$B$10,2,FALSE),0))</f>
        <v/>
      </c>
      <c r="I182" s="19" t="n"/>
      <c r="J182" s="17" t="n"/>
      <c r="K182">
        <f>IF(OR(B182="",F182="7 Ganado",F182="8 Perdido"),"",IF(J182="","SIN FECHA",IF(J182&lt;Parametros!$B$2,"VENCIDO","OK")))</f>
        <v/>
      </c>
      <c r="L182" s="19" t="n"/>
      <c r="M182">
        <f>IF(AND(B182&lt;&gt;"",F182&lt;&gt;"7 Ganado",F182&lt;&gt;"8 Perdido"),1,0)</f>
        <v/>
      </c>
    </row>
    <row r="183">
      <c r="A183" s="17" t="n"/>
      <c r="B183" s="19" t="n"/>
      <c r="C183" s="19" t="n"/>
      <c r="D183" s="19" t="n"/>
      <c r="E183" s="19" t="n"/>
      <c r="F183" s="19" t="n"/>
      <c r="G183" s="19" t="n"/>
      <c r="H183" s="24">
        <f>IF(G183="","",IFERROR(VLOOKUP(G183,Parametros!$A$5:$B$10,2,FALSE),0))</f>
        <v/>
      </c>
      <c r="I183" s="19" t="n"/>
      <c r="J183" s="17" t="n"/>
      <c r="K183">
        <f>IF(OR(B183="",F183="7 Ganado",F183="8 Perdido"),"",IF(J183="","SIN FECHA",IF(J183&lt;Parametros!$B$2,"VENCIDO","OK")))</f>
        <v/>
      </c>
      <c r="L183" s="19" t="n"/>
      <c r="M183">
        <f>IF(AND(B183&lt;&gt;"",F183&lt;&gt;"7 Ganado",F183&lt;&gt;"8 Perdido"),1,0)</f>
        <v/>
      </c>
    </row>
    <row r="184">
      <c r="A184" s="17" t="n"/>
      <c r="B184" s="19" t="n"/>
      <c r="C184" s="19" t="n"/>
      <c r="D184" s="19" t="n"/>
      <c r="E184" s="19" t="n"/>
      <c r="F184" s="19" t="n"/>
      <c r="G184" s="19" t="n"/>
      <c r="H184" s="24">
        <f>IF(G184="","",IFERROR(VLOOKUP(G184,Parametros!$A$5:$B$10,2,FALSE),0))</f>
        <v/>
      </c>
      <c r="I184" s="19" t="n"/>
      <c r="J184" s="17" t="n"/>
      <c r="K184">
        <f>IF(OR(B184="",F184="7 Ganado",F184="8 Perdido"),"",IF(J184="","SIN FECHA",IF(J184&lt;Parametros!$B$2,"VENCIDO","OK")))</f>
        <v/>
      </c>
      <c r="L184" s="19" t="n"/>
      <c r="M184">
        <f>IF(AND(B184&lt;&gt;"",F184&lt;&gt;"7 Ganado",F184&lt;&gt;"8 Perdido"),1,0)</f>
        <v/>
      </c>
    </row>
    <row r="185">
      <c r="A185" s="17" t="n"/>
      <c r="B185" s="19" t="n"/>
      <c r="C185" s="19" t="n"/>
      <c r="D185" s="19" t="n"/>
      <c r="E185" s="19" t="n"/>
      <c r="F185" s="19" t="n"/>
      <c r="G185" s="19" t="n"/>
      <c r="H185" s="24">
        <f>IF(G185="","",IFERROR(VLOOKUP(G185,Parametros!$A$5:$B$10,2,FALSE),0))</f>
        <v/>
      </c>
      <c r="I185" s="19" t="n"/>
      <c r="J185" s="17" t="n"/>
      <c r="K185">
        <f>IF(OR(B185="",F185="7 Ganado",F185="8 Perdido"),"",IF(J185="","SIN FECHA",IF(J185&lt;Parametros!$B$2,"VENCIDO","OK")))</f>
        <v/>
      </c>
      <c r="L185" s="19" t="n"/>
      <c r="M185">
        <f>IF(AND(B185&lt;&gt;"",F185&lt;&gt;"7 Ganado",F185&lt;&gt;"8 Perdido"),1,0)</f>
        <v/>
      </c>
    </row>
    <row r="186">
      <c r="A186" s="17" t="n"/>
      <c r="B186" s="19" t="n"/>
      <c r="C186" s="19" t="n"/>
      <c r="D186" s="19" t="n"/>
      <c r="E186" s="19" t="n"/>
      <c r="F186" s="19" t="n"/>
      <c r="G186" s="19" t="n"/>
      <c r="H186" s="24">
        <f>IF(G186="","",IFERROR(VLOOKUP(G186,Parametros!$A$5:$B$10,2,FALSE),0))</f>
        <v/>
      </c>
      <c r="I186" s="19" t="n"/>
      <c r="J186" s="17" t="n"/>
      <c r="K186">
        <f>IF(OR(B186="",F186="7 Ganado",F186="8 Perdido"),"",IF(J186="","SIN FECHA",IF(J186&lt;Parametros!$B$2,"VENCIDO","OK")))</f>
        <v/>
      </c>
      <c r="L186" s="19" t="n"/>
      <c r="M186">
        <f>IF(AND(B186&lt;&gt;"",F186&lt;&gt;"7 Ganado",F186&lt;&gt;"8 Perdido"),1,0)</f>
        <v/>
      </c>
    </row>
    <row r="187">
      <c r="A187" s="17" t="n"/>
      <c r="B187" s="19" t="n"/>
      <c r="C187" s="19" t="n"/>
      <c r="D187" s="19" t="n"/>
      <c r="E187" s="19" t="n"/>
      <c r="F187" s="19" t="n"/>
      <c r="G187" s="19" t="n"/>
      <c r="H187" s="24">
        <f>IF(G187="","",IFERROR(VLOOKUP(G187,Parametros!$A$5:$B$10,2,FALSE),0))</f>
        <v/>
      </c>
      <c r="I187" s="19" t="n"/>
      <c r="J187" s="17" t="n"/>
      <c r="K187">
        <f>IF(OR(B187="",F187="7 Ganado",F187="8 Perdido"),"",IF(J187="","SIN FECHA",IF(J187&lt;Parametros!$B$2,"VENCIDO","OK")))</f>
        <v/>
      </c>
      <c r="L187" s="19" t="n"/>
      <c r="M187">
        <f>IF(AND(B187&lt;&gt;"",F187&lt;&gt;"7 Ganado",F187&lt;&gt;"8 Perdido"),1,0)</f>
        <v/>
      </c>
    </row>
    <row r="188">
      <c r="A188" s="17" t="n"/>
      <c r="B188" s="19" t="n"/>
      <c r="C188" s="19" t="n"/>
      <c r="D188" s="19" t="n"/>
      <c r="E188" s="19" t="n"/>
      <c r="F188" s="19" t="n"/>
      <c r="G188" s="19" t="n"/>
      <c r="H188" s="24">
        <f>IF(G188="","",IFERROR(VLOOKUP(G188,Parametros!$A$5:$B$10,2,FALSE),0))</f>
        <v/>
      </c>
      <c r="I188" s="19" t="n"/>
      <c r="J188" s="17" t="n"/>
      <c r="K188">
        <f>IF(OR(B188="",F188="7 Ganado",F188="8 Perdido"),"",IF(J188="","SIN FECHA",IF(J188&lt;Parametros!$B$2,"VENCIDO","OK")))</f>
        <v/>
      </c>
      <c r="L188" s="19" t="n"/>
      <c r="M188">
        <f>IF(AND(B188&lt;&gt;"",F188&lt;&gt;"7 Ganado",F188&lt;&gt;"8 Perdido"),1,0)</f>
        <v/>
      </c>
    </row>
    <row r="189">
      <c r="A189" s="17" t="n"/>
      <c r="B189" s="19" t="n"/>
      <c r="C189" s="19" t="n"/>
      <c r="D189" s="19" t="n"/>
      <c r="E189" s="19" t="n"/>
      <c r="F189" s="19" t="n"/>
      <c r="G189" s="19" t="n"/>
      <c r="H189" s="24">
        <f>IF(G189="","",IFERROR(VLOOKUP(G189,Parametros!$A$5:$B$10,2,FALSE),0))</f>
        <v/>
      </c>
      <c r="I189" s="19" t="n"/>
      <c r="J189" s="17" t="n"/>
      <c r="K189">
        <f>IF(OR(B189="",F189="7 Ganado",F189="8 Perdido"),"",IF(J189="","SIN FECHA",IF(J189&lt;Parametros!$B$2,"VENCIDO","OK")))</f>
        <v/>
      </c>
      <c r="L189" s="19" t="n"/>
      <c r="M189">
        <f>IF(AND(B189&lt;&gt;"",F189&lt;&gt;"7 Ganado",F189&lt;&gt;"8 Perdido"),1,0)</f>
        <v/>
      </c>
    </row>
    <row r="190">
      <c r="A190" s="17" t="n"/>
      <c r="B190" s="19" t="n"/>
      <c r="C190" s="19" t="n"/>
      <c r="D190" s="19" t="n"/>
      <c r="E190" s="19" t="n"/>
      <c r="F190" s="19" t="n"/>
      <c r="G190" s="19" t="n"/>
      <c r="H190" s="24">
        <f>IF(G190="","",IFERROR(VLOOKUP(G190,Parametros!$A$5:$B$10,2,FALSE),0))</f>
        <v/>
      </c>
      <c r="I190" s="19" t="n"/>
      <c r="J190" s="17" t="n"/>
      <c r="K190">
        <f>IF(OR(B190="",F190="7 Ganado",F190="8 Perdido"),"",IF(J190="","SIN FECHA",IF(J190&lt;Parametros!$B$2,"VENCIDO","OK")))</f>
        <v/>
      </c>
      <c r="L190" s="19" t="n"/>
      <c r="M190">
        <f>IF(AND(B190&lt;&gt;"",F190&lt;&gt;"7 Ganado",F190&lt;&gt;"8 Perdido"),1,0)</f>
        <v/>
      </c>
    </row>
    <row r="191">
      <c r="A191" s="17" t="n"/>
      <c r="B191" s="19" t="n"/>
      <c r="C191" s="19" t="n"/>
      <c r="D191" s="19" t="n"/>
      <c r="E191" s="19" t="n"/>
      <c r="F191" s="19" t="n"/>
      <c r="G191" s="19" t="n"/>
      <c r="H191" s="24">
        <f>IF(G191="","",IFERROR(VLOOKUP(G191,Parametros!$A$5:$B$10,2,FALSE),0))</f>
        <v/>
      </c>
      <c r="I191" s="19" t="n"/>
      <c r="J191" s="17" t="n"/>
      <c r="K191">
        <f>IF(OR(B191="",F191="7 Ganado",F191="8 Perdido"),"",IF(J191="","SIN FECHA",IF(J191&lt;Parametros!$B$2,"VENCIDO","OK")))</f>
        <v/>
      </c>
      <c r="L191" s="19" t="n"/>
      <c r="M191">
        <f>IF(AND(B191&lt;&gt;"",F191&lt;&gt;"7 Ganado",F191&lt;&gt;"8 Perdido"),1,0)</f>
        <v/>
      </c>
    </row>
    <row r="192">
      <c r="A192" s="17" t="n"/>
      <c r="B192" s="19" t="n"/>
      <c r="C192" s="19" t="n"/>
      <c r="D192" s="19" t="n"/>
      <c r="E192" s="19" t="n"/>
      <c r="F192" s="19" t="n"/>
      <c r="G192" s="19" t="n"/>
      <c r="H192" s="24">
        <f>IF(G192="","",IFERROR(VLOOKUP(G192,Parametros!$A$5:$B$10,2,FALSE),0))</f>
        <v/>
      </c>
      <c r="I192" s="19" t="n"/>
      <c r="J192" s="17" t="n"/>
      <c r="K192">
        <f>IF(OR(B192="",F192="7 Ganado",F192="8 Perdido"),"",IF(J192="","SIN FECHA",IF(J192&lt;Parametros!$B$2,"VENCIDO","OK")))</f>
        <v/>
      </c>
      <c r="L192" s="19" t="n"/>
      <c r="M192">
        <f>IF(AND(B192&lt;&gt;"",F192&lt;&gt;"7 Ganado",F192&lt;&gt;"8 Perdido"),1,0)</f>
        <v/>
      </c>
    </row>
    <row r="193">
      <c r="A193" s="17" t="n"/>
      <c r="B193" s="19" t="n"/>
      <c r="C193" s="19" t="n"/>
      <c r="D193" s="19" t="n"/>
      <c r="E193" s="19" t="n"/>
      <c r="F193" s="19" t="n"/>
      <c r="G193" s="19" t="n"/>
      <c r="H193" s="24">
        <f>IF(G193="","",IFERROR(VLOOKUP(G193,Parametros!$A$5:$B$10,2,FALSE),0))</f>
        <v/>
      </c>
      <c r="I193" s="19" t="n"/>
      <c r="J193" s="17" t="n"/>
      <c r="K193">
        <f>IF(OR(B193="",F193="7 Ganado",F193="8 Perdido"),"",IF(J193="","SIN FECHA",IF(J193&lt;Parametros!$B$2,"VENCIDO","OK")))</f>
        <v/>
      </c>
      <c r="L193" s="19" t="n"/>
      <c r="M193">
        <f>IF(AND(B193&lt;&gt;"",F193&lt;&gt;"7 Ganado",F193&lt;&gt;"8 Perdido"),1,0)</f>
        <v/>
      </c>
    </row>
    <row r="194">
      <c r="A194" s="17" t="n"/>
      <c r="B194" s="19" t="n"/>
      <c r="C194" s="19" t="n"/>
      <c r="D194" s="19" t="n"/>
      <c r="E194" s="19" t="n"/>
      <c r="F194" s="19" t="n"/>
      <c r="G194" s="19" t="n"/>
      <c r="H194" s="24">
        <f>IF(G194="","",IFERROR(VLOOKUP(G194,Parametros!$A$5:$B$10,2,FALSE),0))</f>
        <v/>
      </c>
      <c r="I194" s="19" t="n"/>
      <c r="J194" s="17" t="n"/>
      <c r="K194">
        <f>IF(OR(B194="",F194="7 Ganado",F194="8 Perdido"),"",IF(J194="","SIN FECHA",IF(J194&lt;Parametros!$B$2,"VENCIDO","OK")))</f>
        <v/>
      </c>
      <c r="L194" s="19" t="n"/>
      <c r="M194">
        <f>IF(AND(B194&lt;&gt;"",F194&lt;&gt;"7 Ganado",F194&lt;&gt;"8 Perdido"),1,0)</f>
        <v/>
      </c>
    </row>
    <row r="195">
      <c r="A195" s="17" t="n"/>
      <c r="B195" s="19" t="n"/>
      <c r="C195" s="19" t="n"/>
      <c r="D195" s="19" t="n"/>
      <c r="E195" s="19" t="n"/>
      <c r="F195" s="19" t="n"/>
      <c r="G195" s="19" t="n"/>
      <c r="H195" s="24">
        <f>IF(G195="","",IFERROR(VLOOKUP(G195,Parametros!$A$5:$B$10,2,FALSE),0))</f>
        <v/>
      </c>
      <c r="I195" s="19" t="n"/>
      <c r="J195" s="17" t="n"/>
      <c r="K195">
        <f>IF(OR(B195="",F195="7 Ganado",F195="8 Perdido"),"",IF(J195="","SIN FECHA",IF(J195&lt;Parametros!$B$2,"VENCIDO","OK")))</f>
        <v/>
      </c>
      <c r="L195" s="19" t="n"/>
      <c r="M195">
        <f>IF(AND(B195&lt;&gt;"",F195&lt;&gt;"7 Ganado",F195&lt;&gt;"8 Perdido"),1,0)</f>
        <v/>
      </c>
    </row>
    <row r="196">
      <c r="A196" s="17" t="n"/>
      <c r="B196" s="19" t="n"/>
      <c r="C196" s="19" t="n"/>
      <c r="D196" s="19" t="n"/>
      <c r="E196" s="19" t="n"/>
      <c r="F196" s="19" t="n"/>
      <c r="G196" s="19" t="n"/>
      <c r="H196" s="24">
        <f>IF(G196="","",IFERROR(VLOOKUP(G196,Parametros!$A$5:$B$10,2,FALSE),0))</f>
        <v/>
      </c>
      <c r="I196" s="19" t="n"/>
      <c r="J196" s="17" t="n"/>
      <c r="K196">
        <f>IF(OR(B196="",F196="7 Ganado",F196="8 Perdido"),"",IF(J196="","SIN FECHA",IF(J196&lt;Parametros!$B$2,"VENCIDO","OK")))</f>
        <v/>
      </c>
      <c r="L196" s="19" t="n"/>
      <c r="M196">
        <f>IF(AND(B196&lt;&gt;"",F196&lt;&gt;"7 Ganado",F196&lt;&gt;"8 Perdido"),1,0)</f>
        <v/>
      </c>
    </row>
    <row r="197">
      <c r="A197" s="17" t="n"/>
      <c r="B197" s="19" t="n"/>
      <c r="C197" s="19" t="n"/>
      <c r="D197" s="19" t="n"/>
      <c r="E197" s="19" t="n"/>
      <c r="F197" s="19" t="n"/>
      <c r="G197" s="19" t="n"/>
      <c r="H197" s="24">
        <f>IF(G197="","",IFERROR(VLOOKUP(G197,Parametros!$A$5:$B$10,2,FALSE),0))</f>
        <v/>
      </c>
      <c r="I197" s="19" t="n"/>
      <c r="J197" s="17" t="n"/>
      <c r="K197">
        <f>IF(OR(B197="",F197="7 Ganado",F197="8 Perdido"),"",IF(J197="","SIN FECHA",IF(J197&lt;Parametros!$B$2,"VENCIDO","OK")))</f>
        <v/>
      </c>
      <c r="L197" s="19" t="n"/>
      <c r="M197">
        <f>IF(AND(B197&lt;&gt;"",F197&lt;&gt;"7 Ganado",F197&lt;&gt;"8 Perdido"),1,0)</f>
        <v/>
      </c>
    </row>
    <row r="198">
      <c r="A198" s="17" t="n"/>
      <c r="B198" s="19" t="n"/>
      <c r="C198" s="19" t="n"/>
      <c r="D198" s="19" t="n"/>
      <c r="E198" s="19" t="n"/>
      <c r="F198" s="19" t="n"/>
      <c r="G198" s="19" t="n"/>
      <c r="H198" s="24">
        <f>IF(G198="","",IFERROR(VLOOKUP(G198,Parametros!$A$5:$B$10,2,FALSE),0))</f>
        <v/>
      </c>
      <c r="I198" s="19" t="n"/>
      <c r="J198" s="17" t="n"/>
      <c r="K198">
        <f>IF(OR(B198="",F198="7 Ganado",F198="8 Perdido"),"",IF(J198="","SIN FECHA",IF(J198&lt;Parametros!$B$2,"VENCIDO","OK")))</f>
        <v/>
      </c>
      <c r="L198" s="19" t="n"/>
      <c r="M198">
        <f>IF(AND(B198&lt;&gt;"",F198&lt;&gt;"7 Ganado",F198&lt;&gt;"8 Perdido"),1,0)</f>
        <v/>
      </c>
    </row>
    <row r="199">
      <c r="A199" s="17" t="n"/>
      <c r="B199" s="19" t="n"/>
      <c r="C199" s="19" t="n"/>
      <c r="D199" s="19" t="n"/>
      <c r="E199" s="19" t="n"/>
      <c r="F199" s="19" t="n"/>
      <c r="G199" s="19" t="n"/>
      <c r="H199" s="24">
        <f>IF(G199="","",IFERROR(VLOOKUP(G199,Parametros!$A$5:$B$10,2,FALSE),0))</f>
        <v/>
      </c>
      <c r="I199" s="19" t="n"/>
      <c r="J199" s="17" t="n"/>
      <c r="K199">
        <f>IF(OR(B199="",F199="7 Ganado",F199="8 Perdido"),"",IF(J199="","SIN FECHA",IF(J199&lt;Parametros!$B$2,"VENCIDO","OK")))</f>
        <v/>
      </c>
      <c r="L199" s="19" t="n"/>
      <c r="M199">
        <f>IF(AND(B199&lt;&gt;"",F199&lt;&gt;"7 Ganado",F199&lt;&gt;"8 Perdido"),1,0)</f>
        <v/>
      </c>
    </row>
    <row r="200">
      <c r="A200" s="17" t="n"/>
      <c r="B200" s="19" t="n"/>
      <c r="C200" s="19" t="n"/>
      <c r="D200" s="19" t="n"/>
      <c r="E200" s="19" t="n"/>
      <c r="F200" s="19" t="n"/>
      <c r="G200" s="19" t="n"/>
      <c r="H200" s="24">
        <f>IF(G200="","",IFERROR(VLOOKUP(G200,Parametros!$A$5:$B$10,2,FALSE),0))</f>
        <v/>
      </c>
      <c r="I200" s="19" t="n"/>
      <c r="J200" s="17" t="n"/>
      <c r="K200">
        <f>IF(OR(B200="",F200="7 Ganado",F200="8 Perdido"),"",IF(J200="","SIN FECHA",IF(J200&lt;Parametros!$B$2,"VENCIDO","OK")))</f>
        <v/>
      </c>
      <c r="L200" s="19" t="n"/>
      <c r="M200">
        <f>IF(AND(B200&lt;&gt;"",F200&lt;&gt;"7 Ganado",F200&lt;&gt;"8 Perdido"),1,0)</f>
        <v/>
      </c>
    </row>
    <row r="201">
      <c r="A201" s="17" t="n"/>
      <c r="B201" s="19" t="n"/>
      <c r="C201" s="19" t="n"/>
      <c r="D201" s="19" t="n"/>
      <c r="E201" s="19" t="n"/>
      <c r="F201" s="19" t="n"/>
      <c r="G201" s="19" t="n"/>
      <c r="H201" s="24">
        <f>IF(G201="","",IFERROR(VLOOKUP(G201,Parametros!$A$5:$B$10,2,FALSE),0))</f>
        <v/>
      </c>
      <c r="I201" s="19" t="n"/>
      <c r="J201" s="17" t="n"/>
      <c r="K201">
        <f>IF(OR(B201="",F201="7 Ganado",F201="8 Perdido"),"",IF(J201="","SIN FECHA",IF(J201&lt;Parametros!$B$2,"VENCIDO","OK")))</f>
        <v/>
      </c>
      <c r="L201" s="19" t="n"/>
      <c r="M201">
        <f>IF(AND(B201&lt;&gt;"",F201&lt;&gt;"7 Ganado",F201&lt;&gt;"8 Perdido"),1,0)</f>
        <v/>
      </c>
    </row>
    <row r="202">
      <c r="A202" s="17" t="n"/>
      <c r="B202" s="19" t="n"/>
      <c r="C202" s="19" t="n"/>
      <c r="D202" s="19" t="n"/>
      <c r="E202" s="19" t="n"/>
      <c r="F202" s="19" t="n"/>
      <c r="G202" s="19" t="n"/>
      <c r="H202" s="24">
        <f>IF(G202="","",IFERROR(VLOOKUP(G202,Parametros!$A$5:$B$10,2,FALSE),0))</f>
        <v/>
      </c>
      <c r="I202" s="19" t="n"/>
      <c r="J202" s="17" t="n"/>
      <c r="K202">
        <f>IF(OR(B202="",F202="7 Ganado",F202="8 Perdido"),"",IF(J202="","SIN FECHA",IF(J202&lt;Parametros!$B$2,"VENCIDO","OK")))</f>
        <v/>
      </c>
      <c r="L202" s="19" t="n"/>
      <c r="M202">
        <f>IF(AND(B202&lt;&gt;"",F202&lt;&gt;"7 Ganado",F202&lt;&gt;"8 Perdido"),1,0)</f>
        <v/>
      </c>
    </row>
    <row r="203">
      <c r="A203" s="17" t="n"/>
      <c r="B203" s="19" t="n"/>
      <c r="C203" s="19" t="n"/>
      <c r="D203" s="19" t="n"/>
      <c r="E203" s="19" t="n"/>
      <c r="F203" s="19" t="n"/>
      <c r="G203" s="19" t="n"/>
      <c r="H203" s="24">
        <f>IF(G203="","",IFERROR(VLOOKUP(G203,Parametros!$A$5:$B$10,2,FALSE),0))</f>
        <v/>
      </c>
      <c r="I203" s="19" t="n"/>
      <c r="J203" s="17" t="n"/>
      <c r="K203">
        <f>IF(OR(B203="",F203="7 Ganado",F203="8 Perdido"),"",IF(J203="","SIN FECHA",IF(J203&lt;Parametros!$B$2,"VENCIDO","OK")))</f>
        <v/>
      </c>
      <c r="L203" s="19" t="n"/>
      <c r="M203">
        <f>IF(AND(B203&lt;&gt;"",F203&lt;&gt;"7 Ganado",F203&lt;&gt;"8 Perdido"),1,0)</f>
        <v/>
      </c>
    </row>
    <row r="204">
      <c r="A204" s="17" t="n"/>
      <c r="B204" s="19" t="n"/>
      <c r="C204" s="19" t="n"/>
      <c r="D204" s="19" t="n"/>
      <c r="E204" s="19" t="n"/>
      <c r="F204" s="19" t="n"/>
      <c r="G204" s="19" t="n"/>
      <c r="H204" s="24">
        <f>IF(G204="","",IFERROR(VLOOKUP(G204,Parametros!$A$5:$B$10,2,FALSE),0))</f>
        <v/>
      </c>
      <c r="I204" s="19" t="n"/>
      <c r="J204" s="17" t="n"/>
      <c r="K204">
        <f>IF(OR(B204="",F204="7 Ganado",F204="8 Perdido"),"",IF(J204="","SIN FECHA",IF(J204&lt;Parametros!$B$2,"VENCIDO","OK")))</f>
        <v/>
      </c>
      <c r="L204" s="19" t="n"/>
      <c r="M204">
        <f>IF(AND(B204&lt;&gt;"",F204&lt;&gt;"7 Ganado",F204&lt;&gt;"8 Perdido"),1,0)</f>
        <v/>
      </c>
    </row>
    <row r="205">
      <c r="A205" s="17" t="n"/>
      <c r="B205" s="19" t="n"/>
      <c r="C205" s="19" t="n"/>
      <c r="D205" s="19" t="n"/>
      <c r="E205" s="19" t="n"/>
      <c r="F205" s="19" t="n"/>
      <c r="G205" s="19" t="n"/>
      <c r="H205" s="24">
        <f>IF(G205="","",IFERROR(VLOOKUP(G205,Parametros!$A$5:$B$10,2,FALSE),0))</f>
        <v/>
      </c>
      <c r="I205" s="19" t="n"/>
      <c r="J205" s="17" t="n"/>
      <c r="K205">
        <f>IF(OR(B205="",F205="7 Ganado",F205="8 Perdido"),"",IF(J205="","SIN FECHA",IF(J205&lt;Parametros!$B$2,"VENCIDO","OK")))</f>
        <v/>
      </c>
      <c r="L205" s="19" t="n"/>
      <c r="M205">
        <f>IF(AND(B205&lt;&gt;"",F205&lt;&gt;"7 Ganado",F205&lt;&gt;"8 Perdido"),1,0)</f>
        <v/>
      </c>
    </row>
    <row r="206">
      <c r="A206" s="17" t="n"/>
      <c r="B206" s="19" t="n"/>
      <c r="C206" s="19" t="n"/>
      <c r="D206" s="19" t="n"/>
      <c r="E206" s="19" t="n"/>
      <c r="F206" s="19" t="n"/>
      <c r="G206" s="19" t="n"/>
      <c r="H206" s="24">
        <f>IF(G206="","",IFERROR(VLOOKUP(G206,Parametros!$A$5:$B$10,2,FALSE),0))</f>
        <v/>
      </c>
      <c r="I206" s="19" t="n"/>
      <c r="J206" s="17" t="n"/>
      <c r="K206">
        <f>IF(OR(B206="",F206="7 Ganado",F206="8 Perdido"),"",IF(J206="","SIN FECHA",IF(J206&lt;Parametros!$B$2,"VENCIDO","OK")))</f>
        <v/>
      </c>
      <c r="L206" s="19" t="n"/>
      <c r="M206">
        <f>IF(AND(B206&lt;&gt;"",F206&lt;&gt;"7 Ganado",F206&lt;&gt;"8 Perdido"),1,0)</f>
        <v/>
      </c>
    </row>
    <row r="207">
      <c r="A207" s="17" t="n"/>
      <c r="B207" s="19" t="n"/>
      <c r="C207" s="19" t="n"/>
      <c r="D207" s="19" t="n"/>
      <c r="E207" s="19" t="n"/>
      <c r="F207" s="19" t="n"/>
      <c r="G207" s="19" t="n"/>
      <c r="H207" s="24">
        <f>IF(G207="","",IFERROR(VLOOKUP(G207,Parametros!$A$5:$B$10,2,FALSE),0))</f>
        <v/>
      </c>
      <c r="I207" s="19" t="n"/>
      <c r="J207" s="17" t="n"/>
      <c r="K207">
        <f>IF(OR(B207="",F207="7 Ganado",F207="8 Perdido"),"",IF(J207="","SIN FECHA",IF(J207&lt;Parametros!$B$2,"VENCIDO","OK")))</f>
        <v/>
      </c>
      <c r="L207" s="19" t="n"/>
      <c r="M207">
        <f>IF(AND(B207&lt;&gt;"",F207&lt;&gt;"7 Ganado",F207&lt;&gt;"8 Perdido"),1,0)</f>
        <v/>
      </c>
    </row>
    <row r="208">
      <c r="A208" s="17" t="n"/>
      <c r="B208" s="19" t="n"/>
      <c r="C208" s="19" t="n"/>
      <c r="D208" s="19" t="n"/>
      <c r="E208" s="19" t="n"/>
      <c r="F208" s="19" t="n"/>
      <c r="G208" s="19" t="n"/>
      <c r="H208" s="24">
        <f>IF(G208="","",IFERROR(VLOOKUP(G208,Parametros!$A$5:$B$10,2,FALSE),0))</f>
        <v/>
      </c>
      <c r="I208" s="19" t="n"/>
      <c r="J208" s="17" t="n"/>
      <c r="K208">
        <f>IF(OR(B208="",F208="7 Ganado",F208="8 Perdido"),"",IF(J208="","SIN FECHA",IF(J208&lt;Parametros!$B$2,"VENCIDO","OK")))</f>
        <v/>
      </c>
      <c r="L208" s="19" t="n"/>
      <c r="M208">
        <f>IF(AND(B208&lt;&gt;"",F208&lt;&gt;"7 Ganado",F208&lt;&gt;"8 Perdido"),1,0)</f>
        <v/>
      </c>
    </row>
    <row r="209">
      <c r="A209" s="17" t="n"/>
      <c r="B209" s="19" t="n"/>
      <c r="C209" s="19" t="n"/>
      <c r="D209" s="19" t="n"/>
      <c r="E209" s="19" t="n"/>
      <c r="F209" s="19" t="n"/>
      <c r="G209" s="19" t="n"/>
      <c r="H209" s="24">
        <f>IF(G209="","",IFERROR(VLOOKUP(G209,Parametros!$A$5:$B$10,2,FALSE),0))</f>
        <v/>
      </c>
      <c r="I209" s="19" t="n"/>
      <c r="J209" s="17" t="n"/>
      <c r="K209">
        <f>IF(OR(B209="",F209="7 Ganado",F209="8 Perdido"),"",IF(J209="","SIN FECHA",IF(J209&lt;Parametros!$B$2,"VENCIDO","OK")))</f>
        <v/>
      </c>
      <c r="L209" s="19" t="n"/>
      <c r="M209">
        <f>IF(AND(B209&lt;&gt;"",F209&lt;&gt;"7 Ganado",F209&lt;&gt;"8 Perdido"),1,0)</f>
        <v/>
      </c>
    </row>
    <row r="210">
      <c r="A210" s="17" t="n"/>
      <c r="B210" s="19" t="n"/>
      <c r="C210" s="19" t="n"/>
      <c r="D210" s="19" t="n"/>
      <c r="E210" s="19" t="n"/>
      <c r="F210" s="19" t="n"/>
      <c r="G210" s="19" t="n"/>
      <c r="H210" s="24">
        <f>IF(G210="","",IFERROR(VLOOKUP(G210,Parametros!$A$5:$B$10,2,FALSE),0))</f>
        <v/>
      </c>
      <c r="I210" s="19" t="n"/>
      <c r="J210" s="17" t="n"/>
      <c r="K210">
        <f>IF(OR(B210="",F210="7 Ganado",F210="8 Perdido"),"",IF(J210="","SIN FECHA",IF(J210&lt;Parametros!$B$2,"VENCIDO","OK")))</f>
        <v/>
      </c>
      <c r="L210" s="19" t="n"/>
      <c r="M210">
        <f>IF(AND(B210&lt;&gt;"",F210&lt;&gt;"7 Ganado",F210&lt;&gt;"8 Perdido"),1,0)</f>
        <v/>
      </c>
    </row>
    <row r="211">
      <c r="A211" s="17" t="n"/>
      <c r="B211" s="19" t="n"/>
      <c r="C211" s="19" t="n"/>
      <c r="D211" s="19" t="n"/>
      <c r="E211" s="19" t="n"/>
      <c r="F211" s="19" t="n"/>
      <c r="G211" s="19" t="n"/>
      <c r="H211" s="24">
        <f>IF(G211="","",IFERROR(VLOOKUP(G211,Parametros!$A$5:$B$10,2,FALSE),0))</f>
        <v/>
      </c>
      <c r="I211" s="19" t="n"/>
      <c r="J211" s="17" t="n"/>
      <c r="K211">
        <f>IF(OR(B211="",F211="7 Ganado",F211="8 Perdido"),"",IF(J211="","SIN FECHA",IF(J211&lt;Parametros!$B$2,"VENCIDO","OK")))</f>
        <v/>
      </c>
      <c r="L211" s="19" t="n"/>
      <c r="M211">
        <f>IF(AND(B211&lt;&gt;"",F211&lt;&gt;"7 Ganado",F211&lt;&gt;"8 Perdido"),1,0)</f>
        <v/>
      </c>
    </row>
    <row r="212">
      <c r="A212" s="17" t="n"/>
      <c r="B212" s="19" t="n"/>
      <c r="C212" s="19" t="n"/>
      <c r="D212" s="19" t="n"/>
      <c r="E212" s="19" t="n"/>
      <c r="F212" s="19" t="n"/>
      <c r="G212" s="19" t="n"/>
      <c r="H212" s="24">
        <f>IF(G212="","",IFERROR(VLOOKUP(G212,Parametros!$A$5:$B$10,2,FALSE),0))</f>
        <v/>
      </c>
      <c r="I212" s="19" t="n"/>
      <c r="J212" s="17" t="n"/>
      <c r="K212">
        <f>IF(OR(B212="",F212="7 Ganado",F212="8 Perdido"),"",IF(J212="","SIN FECHA",IF(J212&lt;Parametros!$B$2,"VENCIDO","OK")))</f>
        <v/>
      </c>
      <c r="L212" s="19" t="n"/>
      <c r="M212">
        <f>IF(AND(B212&lt;&gt;"",F212&lt;&gt;"7 Ganado",F212&lt;&gt;"8 Perdido"),1,0)</f>
        <v/>
      </c>
    </row>
    <row r="213">
      <c r="A213" s="17" t="n"/>
      <c r="B213" s="19" t="n"/>
      <c r="C213" s="19" t="n"/>
      <c r="D213" s="19" t="n"/>
      <c r="E213" s="19" t="n"/>
      <c r="F213" s="19" t="n"/>
      <c r="G213" s="19" t="n"/>
      <c r="H213" s="24">
        <f>IF(G213="","",IFERROR(VLOOKUP(G213,Parametros!$A$5:$B$10,2,FALSE),0))</f>
        <v/>
      </c>
      <c r="I213" s="19" t="n"/>
      <c r="J213" s="17" t="n"/>
      <c r="K213">
        <f>IF(OR(B213="",F213="7 Ganado",F213="8 Perdido"),"",IF(J213="","SIN FECHA",IF(J213&lt;Parametros!$B$2,"VENCIDO","OK")))</f>
        <v/>
      </c>
      <c r="L213" s="19" t="n"/>
      <c r="M213">
        <f>IF(AND(B213&lt;&gt;"",F213&lt;&gt;"7 Ganado",F213&lt;&gt;"8 Perdido"),1,0)</f>
        <v/>
      </c>
    </row>
    <row r="214">
      <c r="A214" s="17" t="n"/>
      <c r="B214" s="19" t="n"/>
      <c r="C214" s="19" t="n"/>
      <c r="D214" s="19" t="n"/>
      <c r="E214" s="19" t="n"/>
      <c r="F214" s="19" t="n"/>
      <c r="G214" s="19" t="n"/>
      <c r="H214" s="24">
        <f>IF(G214="","",IFERROR(VLOOKUP(G214,Parametros!$A$5:$B$10,2,FALSE),0))</f>
        <v/>
      </c>
      <c r="I214" s="19" t="n"/>
      <c r="J214" s="17" t="n"/>
      <c r="K214">
        <f>IF(OR(B214="",F214="7 Ganado",F214="8 Perdido"),"",IF(J214="","SIN FECHA",IF(J214&lt;Parametros!$B$2,"VENCIDO","OK")))</f>
        <v/>
      </c>
      <c r="L214" s="19" t="n"/>
      <c r="M214">
        <f>IF(AND(B214&lt;&gt;"",F214&lt;&gt;"7 Ganado",F214&lt;&gt;"8 Perdido"),1,0)</f>
        <v/>
      </c>
    </row>
    <row r="215">
      <c r="A215" s="17" t="n"/>
      <c r="B215" s="19" t="n"/>
      <c r="C215" s="19" t="n"/>
      <c r="D215" s="19" t="n"/>
      <c r="E215" s="19" t="n"/>
      <c r="F215" s="19" t="n"/>
      <c r="G215" s="19" t="n"/>
      <c r="H215" s="24">
        <f>IF(G215="","",IFERROR(VLOOKUP(G215,Parametros!$A$5:$B$10,2,FALSE),0))</f>
        <v/>
      </c>
      <c r="I215" s="19" t="n"/>
      <c r="J215" s="17" t="n"/>
      <c r="K215">
        <f>IF(OR(B215="",F215="7 Ganado",F215="8 Perdido"),"",IF(J215="","SIN FECHA",IF(J215&lt;Parametros!$B$2,"VENCIDO","OK")))</f>
        <v/>
      </c>
      <c r="L215" s="19" t="n"/>
      <c r="M215">
        <f>IF(AND(B215&lt;&gt;"",F215&lt;&gt;"7 Ganado",F215&lt;&gt;"8 Perdido"),1,0)</f>
        <v/>
      </c>
    </row>
    <row r="216">
      <c r="A216" s="17" t="n"/>
      <c r="B216" s="19" t="n"/>
      <c r="C216" s="19" t="n"/>
      <c r="D216" s="19" t="n"/>
      <c r="E216" s="19" t="n"/>
      <c r="F216" s="19" t="n"/>
      <c r="G216" s="19" t="n"/>
      <c r="H216" s="24">
        <f>IF(G216="","",IFERROR(VLOOKUP(G216,Parametros!$A$5:$B$10,2,FALSE),0))</f>
        <v/>
      </c>
      <c r="I216" s="19" t="n"/>
      <c r="J216" s="17" t="n"/>
      <c r="K216">
        <f>IF(OR(B216="",F216="7 Ganado",F216="8 Perdido"),"",IF(J216="","SIN FECHA",IF(J216&lt;Parametros!$B$2,"VENCIDO","OK")))</f>
        <v/>
      </c>
      <c r="L216" s="19" t="n"/>
      <c r="M216">
        <f>IF(AND(B216&lt;&gt;"",F216&lt;&gt;"7 Ganado",F216&lt;&gt;"8 Perdido"),1,0)</f>
        <v/>
      </c>
    </row>
    <row r="217">
      <c r="A217" s="17" t="n"/>
      <c r="B217" s="19" t="n"/>
      <c r="C217" s="19" t="n"/>
      <c r="D217" s="19" t="n"/>
      <c r="E217" s="19" t="n"/>
      <c r="F217" s="19" t="n"/>
      <c r="G217" s="19" t="n"/>
      <c r="H217" s="24">
        <f>IF(G217="","",IFERROR(VLOOKUP(G217,Parametros!$A$5:$B$10,2,FALSE),0))</f>
        <v/>
      </c>
      <c r="I217" s="19" t="n"/>
      <c r="J217" s="17" t="n"/>
      <c r="K217">
        <f>IF(OR(B217="",F217="7 Ganado",F217="8 Perdido"),"",IF(J217="","SIN FECHA",IF(J217&lt;Parametros!$B$2,"VENCIDO","OK")))</f>
        <v/>
      </c>
      <c r="L217" s="19" t="n"/>
      <c r="M217">
        <f>IF(AND(B217&lt;&gt;"",F217&lt;&gt;"7 Ganado",F217&lt;&gt;"8 Perdido"),1,0)</f>
        <v/>
      </c>
    </row>
    <row r="218">
      <c r="A218" s="17" t="n"/>
      <c r="B218" s="19" t="n"/>
      <c r="C218" s="19" t="n"/>
      <c r="D218" s="19" t="n"/>
      <c r="E218" s="19" t="n"/>
      <c r="F218" s="19" t="n"/>
      <c r="G218" s="19" t="n"/>
      <c r="H218" s="24">
        <f>IF(G218="","",IFERROR(VLOOKUP(G218,Parametros!$A$5:$B$10,2,FALSE),0))</f>
        <v/>
      </c>
      <c r="I218" s="19" t="n"/>
      <c r="J218" s="17" t="n"/>
      <c r="K218">
        <f>IF(OR(B218="",F218="7 Ganado",F218="8 Perdido"),"",IF(J218="","SIN FECHA",IF(J218&lt;Parametros!$B$2,"VENCIDO","OK")))</f>
        <v/>
      </c>
      <c r="L218" s="19" t="n"/>
      <c r="M218">
        <f>IF(AND(B218&lt;&gt;"",F218&lt;&gt;"7 Ganado",F218&lt;&gt;"8 Perdido"),1,0)</f>
        <v/>
      </c>
    </row>
    <row r="219">
      <c r="A219" s="17" t="n"/>
      <c r="B219" s="19" t="n"/>
      <c r="C219" s="19" t="n"/>
      <c r="D219" s="19" t="n"/>
      <c r="E219" s="19" t="n"/>
      <c r="F219" s="19" t="n"/>
      <c r="G219" s="19" t="n"/>
      <c r="H219" s="24">
        <f>IF(G219="","",IFERROR(VLOOKUP(G219,Parametros!$A$5:$B$10,2,FALSE),0))</f>
        <v/>
      </c>
      <c r="I219" s="19" t="n"/>
      <c r="J219" s="17" t="n"/>
      <c r="K219">
        <f>IF(OR(B219="",F219="7 Ganado",F219="8 Perdido"),"",IF(J219="","SIN FECHA",IF(J219&lt;Parametros!$B$2,"VENCIDO","OK")))</f>
        <v/>
      </c>
      <c r="L219" s="19" t="n"/>
      <c r="M219">
        <f>IF(AND(B219&lt;&gt;"",F219&lt;&gt;"7 Ganado",F219&lt;&gt;"8 Perdido"),1,0)</f>
        <v/>
      </c>
    </row>
    <row r="220">
      <c r="A220" s="17" t="n"/>
      <c r="B220" s="19" t="n"/>
      <c r="C220" s="19" t="n"/>
      <c r="D220" s="19" t="n"/>
      <c r="E220" s="19" t="n"/>
      <c r="F220" s="19" t="n"/>
      <c r="G220" s="19" t="n"/>
      <c r="H220" s="24">
        <f>IF(G220="","",IFERROR(VLOOKUP(G220,Parametros!$A$5:$B$10,2,FALSE),0))</f>
        <v/>
      </c>
      <c r="I220" s="19" t="n"/>
      <c r="J220" s="17" t="n"/>
      <c r="K220">
        <f>IF(OR(B220="",F220="7 Ganado",F220="8 Perdido"),"",IF(J220="","SIN FECHA",IF(J220&lt;Parametros!$B$2,"VENCIDO","OK")))</f>
        <v/>
      </c>
      <c r="L220" s="19" t="n"/>
      <c r="M220">
        <f>IF(AND(B220&lt;&gt;"",F220&lt;&gt;"7 Ganado",F220&lt;&gt;"8 Perdido"),1,0)</f>
        <v/>
      </c>
    </row>
    <row r="221">
      <c r="A221" s="17" t="n"/>
      <c r="B221" s="19" t="n"/>
      <c r="C221" s="19" t="n"/>
      <c r="D221" s="19" t="n"/>
      <c r="E221" s="19" t="n"/>
      <c r="F221" s="19" t="n"/>
      <c r="G221" s="19" t="n"/>
      <c r="H221" s="24">
        <f>IF(G221="","",IFERROR(VLOOKUP(G221,Parametros!$A$5:$B$10,2,FALSE),0))</f>
        <v/>
      </c>
      <c r="I221" s="19" t="n"/>
      <c r="J221" s="17" t="n"/>
      <c r="K221">
        <f>IF(OR(B221="",F221="7 Ganado",F221="8 Perdido"),"",IF(J221="","SIN FECHA",IF(J221&lt;Parametros!$B$2,"VENCIDO","OK")))</f>
        <v/>
      </c>
      <c r="L221" s="19" t="n"/>
      <c r="M221">
        <f>IF(AND(B221&lt;&gt;"",F221&lt;&gt;"7 Ganado",F221&lt;&gt;"8 Perdido"),1,0)</f>
        <v/>
      </c>
    </row>
    <row r="222">
      <c r="A222" s="17" t="n"/>
      <c r="B222" s="19" t="n"/>
      <c r="C222" s="19" t="n"/>
      <c r="D222" s="19" t="n"/>
      <c r="E222" s="19" t="n"/>
      <c r="F222" s="19" t="n"/>
      <c r="G222" s="19" t="n"/>
      <c r="H222" s="24">
        <f>IF(G222="","",IFERROR(VLOOKUP(G222,Parametros!$A$5:$B$10,2,FALSE),0))</f>
        <v/>
      </c>
      <c r="I222" s="19" t="n"/>
      <c r="J222" s="17" t="n"/>
      <c r="K222">
        <f>IF(OR(B222="",F222="7 Ganado",F222="8 Perdido"),"",IF(J222="","SIN FECHA",IF(J222&lt;Parametros!$B$2,"VENCIDO","OK")))</f>
        <v/>
      </c>
      <c r="L222" s="19" t="n"/>
      <c r="M222">
        <f>IF(AND(B222&lt;&gt;"",F222&lt;&gt;"7 Ganado",F222&lt;&gt;"8 Perdido"),1,0)</f>
        <v/>
      </c>
    </row>
    <row r="223">
      <c r="A223" s="17" t="n"/>
      <c r="B223" s="19" t="n"/>
      <c r="C223" s="19" t="n"/>
      <c r="D223" s="19" t="n"/>
      <c r="E223" s="19" t="n"/>
      <c r="F223" s="19" t="n"/>
      <c r="G223" s="19" t="n"/>
      <c r="H223" s="24">
        <f>IF(G223="","",IFERROR(VLOOKUP(G223,Parametros!$A$5:$B$10,2,FALSE),0))</f>
        <v/>
      </c>
      <c r="I223" s="19" t="n"/>
      <c r="J223" s="17" t="n"/>
      <c r="K223">
        <f>IF(OR(B223="",F223="7 Ganado",F223="8 Perdido"),"",IF(J223="","SIN FECHA",IF(J223&lt;Parametros!$B$2,"VENCIDO","OK")))</f>
        <v/>
      </c>
      <c r="L223" s="19" t="n"/>
      <c r="M223">
        <f>IF(AND(B223&lt;&gt;"",F223&lt;&gt;"7 Ganado",F223&lt;&gt;"8 Perdido"),1,0)</f>
        <v/>
      </c>
    </row>
    <row r="224">
      <c r="A224" s="17" t="n"/>
      <c r="B224" s="19" t="n"/>
      <c r="C224" s="19" t="n"/>
      <c r="D224" s="19" t="n"/>
      <c r="E224" s="19" t="n"/>
      <c r="F224" s="19" t="n"/>
      <c r="G224" s="19" t="n"/>
      <c r="H224" s="24">
        <f>IF(G224="","",IFERROR(VLOOKUP(G224,Parametros!$A$5:$B$10,2,FALSE),0))</f>
        <v/>
      </c>
      <c r="I224" s="19" t="n"/>
      <c r="J224" s="17" t="n"/>
      <c r="K224">
        <f>IF(OR(B224="",F224="7 Ganado",F224="8 Perdido"),"",IF(J224="","SIN FECHA",IF(J224&lt;Parametros!$B$2,"VENCIDO","OK")))</f>
        <v/>
      </c>
      <c r="L224" s="19" t="n"/>
      <c r="M224">
        <f>IF(AND(B224&lt;&gt;"",F224&lt;&gt;"7 Ganado",F224&lt;&gt;"8 Perdido"),1,0)</f>
        <v/>
      </c>
    </row>
    <row r="225">
      <c r="A225" s="17" t="n"/>
      <c r="B225" s="19" t="n"/>
      <c r="C225" s="19" t="n"/>
      <c r="D225" s="19" t="n"/>
      <c r="E225" s="19" t="n"/>
      <c r="F225" s="19" t="n"/>
      <c r="G225" s="19" t="n"/>
      <c r="H225" s="24">
        <f>IF(G225="","",IFERROR(VLOOKUP(G225,Parametros!$A$5:$B$10,2,FALSE),0))</f>
        <v/>
      </c>
      <c r="I225" s="19" t="n"/>
      <c r="J225" s="17" t="n"/>
      <c r="K225">
        <f>IF(OR(B225="",F225="7 Ganado",F225="8 Perdido"),"",IF(J225="","SIN FECHA",IF(J225&lt;Parametros!$B$2,"VENCIDO","OK")))</f>
        <v/>
      </c>
      <c r="L225" s="19" t="n"/>
      <c r="M225">
        <f>IF(AND(B225&lt;&gt;"",F225&lt;&gt;"7 Ganado",F225&lt;&gt;"8 Perdido"),1,0)</f>
        <v/>
      </c>
    </row>
    <row r="226">
      <c r="A226" s="17" t="n"/>
      <c r="B226" s="19" t="n"/>
      <c r="C226" s="19" t="n"/>
      <c r="D226" s="19" t="n"/>
      <c r="E226" s="19" t="n"/>
      <c r="F226" s="19" t="n"/>
      <c r="G226" s="19" t="n"/>
      <c r="H226" s="24">
        <f>IF(G226="","",IFERROR(VLOOKUP(G226,Parametros!$A$5:$B$10,2,FALSE),0))</f>
        <v/>
      </c>
      <c r="I226" s="19" t="n"/>
      <c r="J226" s="17" t="n"/>
      <c r="K226">
        <f>IF(OR(B226="",F226="7 Ganado",F226="8 Perdido"),"",IF(J226="","SIN FECHA",IF(J226&lt;Parametros!$B$2,"VENCIDO","OK")))</f>
        <v/>
      </c>
      <c r="L226" s="19" t="n"/>
      <c r="M226">
        <f>IF(AND(B226&lt;&gt;"",F226&lt;&gt;"7 Ganado",F226&lt;&gt;"8 Perdido"),1,0)</f>
        <v/>
      </c>
    </row>
    <row r="227">
      <c r="A227" s="17" t="n"/>
      <c r="B227" s="19" t="n"/>
      <c r="C227" s="19" t="n"/>
      <c r="D227" s="19" t="n"/>
      <c r="E227" s="19" t="n"/>
      <c r="F227" s="19" t="n"/>
      <c r="G227" s="19" t="n"/>
      <c r="H227" s="24">
        <f>IF(G227="","",IFERROR(VLOOKUP(G227,Parametros!$A$5:$B$10,2,FALSE),0))</f>
        <v/>
      </c>
      <c r="I227" s="19" t="n"/>
      <c r="J227" s="17" t="n"/>
      <c r="K227">
        <f>IF(OR(B227="",F227="7 Ganado",F227="8 Perdido"),"",IF(J227="","SIN FECHA",IF(J227&lt;Parametros!$B$2,"VENCIDO","OK")))</f>
        <v/>
      </c>
      <c r="L227" s="19" t="n"/>
      <c r="M227">
        <f>IF(AND(B227&lt;&gt;"",F227&lt;&gt;"7 Ganado",F227&lt;&gt;"8 Perdido"),1,0)</f>
        <v/>
      </c>
    </row>
    <row r="228">
      <c r="A228" s="17" t="n"/>
      <c r="B228" s="19" t="n"/>
      <c r="C228" s="19" t="n"/>
      <c r="D228" s="19" t="n"/>
      <c r="E228" s="19" t="n"/>
      <c r="F228" s="19" t="n"/>
      <c r="G228" s="19" t="n"/>
      <c r="H228" s="24">
        <f>IF(G228="","",IFERROR(VLOOKUP(G228,Parametros!$A$5:$B$10,2,FALSE),0))</f>
        <v/>
      </c>
      <c r="I228" s="19" t="n"/>
      <c r="J228" s="17" t="n"/>
      <c r="K228">
        <f>IF(OR(B228="",F228="7 Ganado",F228="8 Perdido"),"",IF(J228="","SIN FECHA",IF(J228&lt;Parametros!$B$2,"VENCIDO","OK")))</f>
        <v/>
      </c>
      <c r="L228" s="19" t="n"/>
      <c r="M228">
        <f>IF(AND(B228&lt;&gt;"",F228&lt;&gt;"7 Ganado",F228&lt;&gt;"8 Perdido"),1,0)</f>
        <v/>
      </c>
    </row>
    <row r="229">
      <c r="A229" s="17" t="n"/>
      <c r="B229" s="19" t="n"/>
      <c r="C229" s="19" t="n"/>
      <c r="D229" s="19" t="n"/>
      <c r="E229" s="19" t="n"/>
      <c r="F229" s="19" t="n"/>
      <c r="G229" s="19" t="n"/>
      <c r="H229" s="24">
        <f>IF(G229="","",IFERROR(VLOOKUP(G229,Parametros!$A$5:$B$10,2,FALSE),0))</f>
        <v/>
      </c>
      <c r="I229" s="19" t="n"/>
      <c r="J229" s="17" t="n"/>
      <c r="K229">
        <f>IF(OR(B229="",F229="7 Ganado",F229="8 Perdido"),"",IF(J229="","SIN FECHA",IF(J229&lt;Parametros!$B$2,"VENCIDO","OK")))</f>
        <v/>
      </c>
      <c r="L229" s="19" t="n"/>
      <c r="M229">
        <f>IF(AND(B229&lt;&gt;"",F229&lt;&gt;"7 Ganado",F229&lt;&gt;"8 Perdido"),1,0)</f>
        <v/>
      </c>
    </row>
    <row r="230">
      <c r="A230" s="17" t="n"/>
      <c r="B230" s="19" t="n"/>
      <c r="C230" s="19" t="n"/>
      <c r="D230" s="19" t="n"/>
      <c r="E230" s="19" t="n"/>
      <c r="F230" s="19" t="n"/>
      <c r="G230" s="19" t="n"/>
      <c r="H230" s="24">
        <f>IF(G230="","",IFERROR(VLOOKUP(G230,Parametros!$A$5:$B$10,2,FALSE),0))</f>
        <v/>
      </c>
      <c r="I230" s="19" t="n"/>
      <c r="J230" s="17" t="n"/>
      <c r="K230">
        <f>IF(OR(B230="",F230="7 Ganado",F230="8 Perdido"),"",IF(J230="","SIN FECHA",IF(J230&lt;Parametros!$B$2,"VENCIDO","OK")))</f>
        <v/>
      </c>
      <c r="L230" s="19" t="n"/>
      <c r="M230">
        <f>IF(AND(B230&lt;&gt;"",F230&lt;&gt;"7 Ganado",F230&lt;&gt;"8 Perdido"),1,0)</f>
        <v/>
      </c>
    </row>
    <row r="231">
      <c r="A231" s="17" t="n"/>
      <c r="B231" s="19" t="n"/>
      <c r="C231" s="19" t="n"/>
      <c r="D231" s="19" t="n"/>
      <c r="E231" s="19" t="n"/>
      <c r="F231" s="19" t="n"/>
      <c r="G231" s="19" t="n"/>
      <c r="H231" s="24">
        <f>IF(G231="","",IFERROR(VLOOKUP(G231,Parametros!$A$5:$B$10,2,FALSE),0))</f>
        <v/>
      </c>
      <c r="I231" s="19" t="n"/>
      <c r="J231" s="17" t="n"/>
      <c r="K231">
        <f>IF(OR(B231="",F231="7 Ganado",F231="8 Perdido"),"",IF(J231="","SIN FECHA",IF(J231&lt;Parametros!$B$2,"VENCIDO","OK")))</f>
        <v/>
      </c>
      <c r="L231" s="19" t="n"/>
      <c r="M231">
        <f>IF(AND(B231&lt;&gt;"",F231&lt;&gt;"7 Ganado",F231&lt;&gt;"8 Perdido"),1,0)</f>
        <v/>
      </c>
    </row>
    <row r="232">
      <c r="A232" s="17" t="n"/>
      <c r="B232" s="19" t="n"/>
      <c r="C232" s="19" t="n"/>
      <c r="D232" s="19" t="n"/>
      <c r="E232" s="19" t="n"/>
      <c r="F232" s="19" t="n"/>
      <c r="G232" s="19" t="n"/>
      <c r="H232" s="24">
        <f>IF(G232="","",IFERROR(VLOOKUP(G232,Parametros!$A$5:$B$10,2,FALSE),0))</f>
        <v/>
      </c>
      <c r="I232" s="19" t="n"/>
      <c r="J232" s="17" t="n"/>
      <c r="K232">
        <f>IF(OR(B232="",F232="7 Ganado",F232="8 Perdido"),"",IF(J232="","SIN FECHA",IF(J232&lt;Parametros!$B$2,"VENCIDO","OK")))</f>
        <v/>
      </c>
      <c r="L232" s="19" t="n"/>
      <c r="M232">
        <f>IF(AND(B232&lt;&gt;"",F232&lt;&gt;"7 Ganado",F232&lt;&gt;"8 Perdido"),1,0)</f>
        <v/>
      </c>
    </row>
    <row r="233">
      <c r="A233" s="17" t="n"/>
      <c r="B233" s="19" t="n"/>
      <c r="C233" s="19" t="n"/>
      <c r="D233" s="19" t="n"/>
      <c r="E233" s="19" t="n"/>
      <c r="F233" s="19" t="n"/>
      <c r="G233" s="19" t="n"/>
      <c r="H233" s="24">
        <f>IF(G233="","",IFERROR(VLOOKUP(G233,Parametros!$A$5:$B$10,2,FALSE),0))</f>
        <v/>
      </c>
      <c r="I233" s="19" t="n"/>
      <c r="J233" s="17" t="n"/>
      <c r="K233">
        <f>IF(OR(B233="",F233="7 Ganado",F233="8 Perdido"),"",IF(J233="","SIN FECHA",IF(J233&lt;Parametros!$B$2,"VENCIDO","OK")))</f>
        <v/>
      </c>
      <c r="L233" s="19" t="n"/>
      <c r="M233">
        <f>IF(AND(B233&lt;&gt;"",F233&lt;&gt;"7 Ganado",F233&lt;&gt;"8 Perdido"),1,0)</f>
        <v/>
      </c>
    </row>
    <row r="234">
      <c r="A234" s="17" t="n"/>
      <c r="B234" s="19" t="n"/>
      <c r="C234" s="19" t="n"/>
      <c r="D234" s="19" t="n"/>
      <c r="E234" s="19" t="n"/>
      <c r="F234" s="19" t="n"/>
      <c r="G234" s="19" t="n"/>
      <c r="H234" s="24">
        <f>IF(G234="","",IFERROR(VLOOKUP(G234,Parametros!$A$5:$B$10,2,FALSE),0))</f>
        <v/>
      </c>
      <c r="I234" s="19" t="n"/>
      <c r="J234" s="17" t="n"/>
      <c r="K234">
        <f>IF(OR(B234="",F234="7 Ganado",F234="8 Perdido"),"",IF(J234="","SIN FECHA",IF(J234&lt;Parametros!$B$2,"VENCIDO","OK")))</f>
        <v/>
      </c>
      <c r="L234" s="19" t="n"/>
      <c r="M234">
        <f>IF(AND(B234&lt;&gt;"",F234&lt;&gt;"7 Ganado",F234&lt;&gt;"8 Perdido"),1,0)</f>
        <v/>
      </c>
    </row>
    <row r="235">
      <c r="A235" s="17" t="n"/>
      <c r="B235" s="19" t="n"/>
      <c r="C235" s="19" t="n"/>
      <c r="D235" s="19" t="n"/>
      <c r="E235" s="19" t="n"/>
      <c r="F235" s="19" t="n"/>
      <c r="G235" s="19" t="n"/>
      <c r="H235" s="24">
        <f>IF(G235="","",IFERROR(VLOOKUP(G235,Parametros!$A$5:$B$10,2,FALSE),0))</f>
        <v/>
      </c>
      <c r="I235" s="19" t="n"/>
      <c r="J235" s="17" t="n"/>
      <c r="K235">
        <f>IF(OR(B235="",F235="7 Ganado",F235="8 Perdido"),"",IF(J235="","SIN FECHA",IF(J235&lt;Parametros!$B$2,"VENCIDO","OK")))</f>
        <v/>
      </c>
      <c r="L235" s="19" t="n"/>
      <c r="M235">
        <f>IF(AND(B235&lt;&gt;"",F235&lt;&gt;"7 Ganado",F235&lt;&gt;"8 Perdido"),1,0)</f>
        <v/>
      </c>
    </row>
    <row r="236">
      <c r="A236" s="17" t="n"/>
      <c r="B236" s="19" t="n"/>
      <c r="C236" s="19" t="n"/>
      <c r="D236" s="19" t="n"/>
      <c r="E236" s="19" t="n"/>
      <c r="F236" s="19" t="n"/>
      <c r="G236" s="19" t="n"/>
      <c r="H236" s="24">
        <f>IF(G236="","",IFERROR(VLOOKUP(G236,Parametros!$A$5:$B$10,2,FALSE),0))</f>
        <v/>
      </c>
      <c r="I236" s="19" t="n"/>
      <c r="J236" s="17" t="n"/>
      <c r="K236">
        <f>IF(OR(B236="",F236="7 Ganado",F236="8 Perdido"),"",IF(J236="","SIN FECHA",IF(J236&lt;Parametros!$B$2,"VENCIDO","OK")))</f>
        <v/>
      </c>
      <c r="L236" s="19" t="n"/>
      <c r="M236">
        <f>IF(AND(B236&lt;&gt;"",F236&lt;&gt;"7 Ganado",F236&lt;&gt;"8 Perdido"),1,0)</f>
        <v/>
      </c>
    </row>
    <row r="237">
      <c r="A237" s="17" t="n"/>
      <c r="B237" s="19" t="n"/>
      <c r="C237" s="19" t="n"/>
      <c r="D237" s="19" t="n"/>
      <c r="E237" s="19" t="n"/>
      <c r="F237" s="19" t="n"/>
      <c r="G237" s="19" t="n"/>
      <c r="H237" s="24">
        <f>IF(G237="","",IFERROR(VLOOKUP(G237,Parametros!$A$5:$B$10,2,FALSE),0))</f>
        <v/>
      </c>
      <c r="I237" s="19" t="n"/>
      <c r="J237" s="17" t="n"/>
      <c r="K237">
        <f>IF(OR(B237="",F237="7 Ganado",F237="8 Perdido"),"",IF(J237="","SIN FECHA",IF(J237&lt;Parametros!$B$2,"VENCIDO","OK")))</f>
        <v/>
      </c>
      <c r="L237" s="19" t="n"/>
      <c r="M237">
        <f>IF(AND(B237&lt;&gt;"",F237&lt;&gt;"7 Ganado",F237&lt;&gt;"8 Perdido"),1,0)</f>
        <v/>
      </c>
    </row>
    <row r="238">
      <c r="A238" s="17" t="n"/>
      <c r="B238" s="19" t="n"/>
      <c r="C238" s="19" t="n"/>
      <c r="D238" s="19" t="n"/>
      <c r="E238" s="19" t="n"/>
      <c r="F238" s="19" t="n"/>
      <c r="G238" s="19" t="n"/>
      <c r="H238" s="24">
        <f>IF(G238="","",IFERROR(VLOOKUP(G238,Parametros!$A$5:$B$10,2,FALSE),0))</f>
        <v/>
      </c>
      <c r="I238" s="19" t="n"/>
      <c r="J238" s="17" t="n"/>
      <c r="K238">
        <f>IF(OR(B238="",F238="7 Ganado",F238="8 Perdido"),"",IF(J238="","SIN FECHA",IF(J238&lt;Parametros!$B$2,"VENCIDO","OK")))</f>
        <v/>
      </c>
      <c r="L238" s="19" t="n"/>
      <c r="M238">
        <f>IF(AND(B238&lt;&gt;"",F238&lt;&gt;"7 Ganado",F238&lt;&gt;"8 Perdido"),1,0)</f>
        <v/>
      </c>
    </row>
    <row r="239">
      <c r="A239" s="17" t="n"/>
      <c r="B239" s="19" t="n"/>
      <c r="C239" s="19" t="n"/>
      <c r="D239" s="19" t="n"/>
      <c r="E239" s="19" t="n"/>
      <c r="F239" s="19" t="n"/>
      <c r="G239" s="19" t="n"/>
      <c r="H239" s="24">
        <f>IF(G239="","",IFERROR(VLOOKUP(G239,Parametros!$A$5:$B$10,2,FALSE),0))</f>
        <v/>
      </c>
      <c r="I239" s="19" t="n"/>
      <c r="J239" s="17" t="n"/>
      <c r="K239">
        <f>IF(OR(B239="",F239="7 Ganado",F239="8 Perdido"),"",IF(J239="","SIN FECHA",IF(J239&lt;Parametros!$B$2,"VENCIDO","OK")))</f>
        <v/>
      </c>
      <c r="L239" s="19" t="n"/>
      <c r="M239">
        <f>IF(AND(B239&lt;&gt;"",F239&lt;&gt;"7 Ganado",F239&lt;&gt;"8 Perdido"),1,0)</f>
        <v/>
      </c>
    </row>
    <row r="240">
      <c r="A240" s="17" t="n"/>
      <c r="B240" s="19" t="n"/>
      <c r="C240" s="19" t="n"/>
      <c r="D240" s="19" t="n"/>
      <c r="E240" s="19" t="n"/>
      <c r="F240" s="19" t="n"/>
      <c r="G240" s="19" t="n"/>
      <c r="H240" s="24">
        <f>IF(G240="","",IFERROR(VLOOKUP(G240,Parametros!$A$5:$B$10,2,FALSE),0))</f>
        <v/>
      </c>
      <c r="I240" s="19" t="n"/>
      <c r="J240" s="17" t="n"/>
      <c r="K240">
        <f>IF(OR(B240="",F240="7 Ganado",F240="8 Perdido"),"",IF(J240="","SIN FECHA",IF(J240&lt;Parametros!$B$2,"VENCIDO","OK")))</f>
        <v/>
      </c>
      <c r="L240" s="19" t="n"/>
      <c r="M240">
        <f>IF(AND(B240&lt;&gt;"",F240&lt;&gt;"7 Ganado",F240&lt;&gt;"8 Perdido"),1,0)</f>
        <v/>
      </c>
    </row>
    <row r="241">
      <c r="A241" s="17" t="n"/>
      <c r="B241" s="19" t="n"/>
      <c r="C241" s="19" t="n"/>
      <c r="D241" s="19" t="n"/>
      <c r="E241" s="19" t="n"/>
      <c r="F241" s="19" t="n"/>
      <c r="G241" s="19" t="n"/>
      <c r="H241" s="24">
        <f>IF(G241="","",IFERROR(VLOOKUP(G241,Parametros!$A$5:$B$10,2,FALSE),0))</f>
        <v/>
      </c>
      <c r="I241" s="19" t="n"/>
      <c r="J241" s="17" t="n"/>
      <c r="K241">
        <f>IF(OR(B241="",F241="7 Ganado",F241="8 Perdido"),"",IF(J241="","SIN FECHA",IF(J241&lt;Parametros!$B$2,"VENCIDO","OK")))</f>
        <v/>
      </c>
      <c r="L241" s="19" t="n"/>
      <c r="M241">
        <f>IF(AND(B241&lt;&gt;"",F241&lt;&gt;"7 Ganado",F241&lt;&gt;"8 Perdido"),1,0)</f>
        <v/>
      </c>
    </row>
    <row r="242">
      <c r="A242" s="17" t="n"/>
      <c r="B242" s="19" t="n"/>
      <c r="C242" s="19" t="n"/>
      <c r="D242" s="19" t="n"/>
      <c r="E242" s="19" t="n"/>
      <c r="F242" s="19" t="n"/>
      <c r="G242" s="19" t="n"/>
      <c r="H242" s="24">
        <f>IF(G242="","",IFERROR(VLOOKUP(G242,Parametros!$A$5:$B$10,2,FALSE),0))</f>
        <v/>
      </c>
      <c r="I242" s="19" t="n"/>
      <c r="J242" s="17" t="n"/>
      <c r="K242">
        <f>IF(OR(B242="",F242="7 Ganado",F242="8 Perdido"),"",IF(J242="","SIN FECHA",IF(J242&lt;Parametros!$B$2,"VENCIDO","OK")))</f>
        <v/>
      </c>
      <c r="L242" s="19" t="n"/>
      <c r="M242">
        <f>IF(AND(B242&lt;&gt;"",F242&lt;&gt;"7 Ganado",F242&lt;&gt;"8 Perdido"),1,0)</f>
        <v/>
      </c>
    </row>
    <row r="243">
      <c r="A243" s="17" t="n"/>
      <c r="B243" s="19" t="n"/>
      <c r="C243" s="19" t="n"/>
      <c r="D243" s="19" t="n"/>
      <c r="E243" s="19" t="n"/>
      <c r="F243" s="19" t="n"/>
      <c r="G243" s="19" t="n"/>
      <c r="H243" s="24">
        <f>IF(G243="","",IFERROR(VLOOKUP(G243,Parametros!$A$5:$B$10,2,FALSE),0))</f>
        <v/>
      </c>
      <c r="I243" s="19" t="n"/>
      <c r="J243" s="17" t="n"/>
      <c r="K243">
        <f>IF(OR(B243="",F243="7 Ganado",F243="8 Perdido"),"",IF(J243="","SIN FECHA",IF(J243&lt;Parametros!$B$2,"VENCIDO","OK")))</f>
        <v/>
      </c>
      <c r="L243" s="19" t="n"/>
      <c r="M243">
        <f>IF(AND(B243&lt;&gt;"",F243&lt;&gt;"7 Ganado",F243&lt;&gt;"8 Perdido"),1,0)</f>
        <v/>
      </c>
    </row>
    <row r="244">
      <c r="A244" s="17" t="n"/>
      <c r="B244" s="19" t="n"/>
      <c r="C244" s="19" t="n"/>
      <c r="D244" s="19" t="n"/>
      <c r="E244" s="19" t="n"/>
      <c r="F244" s="19" t="n"/>
      <c r="G244" s="19" t="n"/>
      <c r="H244" s="24">
        <f>IF(G244="","",IFERROR(VLOOKUP(G244,Parametros!$A$5:$B$10,2,FALSE),0))</f>
        <v/>
      </c>
      <c r="I244" s="19" t="n"/>
      <c r="J244" s="17" t="n"/>
      <c r="K244">
        <f>IF(OR(B244="",F244="7 Ganado",F244="8 Perdido"),"",IF(J244="","SIN FECHA",IF(J244&lt;Parametros!$B$2,"VENCIDO","OK")))</f>
        <v/>
      </c>
      <c r="L244" s="19" t="n"/>
      <c r="M244">
        <f>IF(AND(B244&lt;&gt;"",F244&lt;&gt;"7 Ganado",F244&lt;&gt;"8 Perdido"),1,0)</f>
        <v/>
      </c>
    </row>
    <row r="245">
      <c r="A245" s="17" t="n"/>
      <c r="B245" s="19" t="n"/>
      <c r="C245" s="19" t="n"/>
      <c r="D245" s="19" t="n"/>
      <c r="E245" s="19" t="n"/>
      <c r="F245" s="19" t="n"/>
      <c r="G245" s="19" t="n"/>
      <c r="H245" s="24">
        <f>IF(G245="","",IFERROR(VLOOKUP(G245,Parametros!$A$5:$B$10,2,FALSE),0))</f>
        <v/>
      </c>
      <c r="I245" s="19" t="n"/>
      <c r="J245" s="17" t="n"/>
      <c r="K245">
        <f>IF(OR(B245="",F245="7 Ganado",F245="8 Perdido"),"",IF(J245="","SIN FECHA",IF(J245&lt;Parametros!$B$2,"VENCIDO","OK")))</f>
        <v/>
      </c>
      <c r="L245" s="19" t="n"/>
      <c r="M245">
        <f>IF(AND(B245&lt;&gt;"",F245&lt;&gt;"7 Ganado",F245&lt;&gt;"8 Perdido"),1,0)</f>
        <v/>
      </c>
    </row>
    <row r="246">
      <c r="A246" s="17" t="n"/>
      <c r="B246" s="19" t="n"/>
      <c r="C246" s="19" t="n"/>
      <c r="D246" s="19" t="n"/>
      <c r="E246" s="19" t="n"/>
      <c r="F246" s="19" t="n"/>
      <c r="G246" s="19" t="n"/>
      <c r="H246" s="24">
        <f>IF(G246="","",IFERROR(VLOOKUP(G246,Parametros!$A$5:$B$10,2,FALSE),0))</f>
        <v/>
      </c>
      <c r="I246" s="19" t="n"/>
      <c r="J246" s="17" t="n"/>
      <c r="K246">
        <f>IF(OR(B246="",F246="7 Ganado",F246="8 Perdido"),"",IF(J246="","SIN FECHA",IF(J246&lt;Parametros!$B$2,"VENCIDO","OK")))</f>
        <v/>
      </c>
      <c r="L246" s="19" t="n"/>
      <c r="M246">
        <f>IF(AND(B246&lt;&gt;"",F246&lt;&gt;"7 Ganado",F246&lt;&gt;"8 Perdido"),1,0)</f>
        <v/>
      </c>
    </row>
    <row r="247">
      <c r="A247" s="17" t="n"/>
      <c r="B247" s="19" t="n"/>
      <c r="C247" s="19" t="n"/>
      <c r="D247" s="19" t="n"/>
      <c r="E247" s="19" t="n"/>
      <c r="F247" s="19" t="n"/>
      <c r="G247" s="19" t="n"/>
      <c r="H247" s="24">
        <f>IF(G247="","",IFERROR(VLOOKUP(G247,Parametros!$A$5:$B$10,2,FALSE),0))</f>
        <v/>
      </c>
      <c r="I247" s="19" t="n"/>
      <c r="J247" s="17" t="n"/>
      <c r="K247">
        <f>IF(OR(B247="",F247="7 Ganado",F247="8 Perdido"),"",IF(J247="","SIN FECHA",IF(J247&lt;Parametros!$B$2,"VENCIDO","OK")))</f>
        <v/>
      </c>
      <c r="L247" s="19" t="n"/>
      <c r="M247">
        <f>IF(AND(B247&lt;&gt;"",F247&lt;&gt;"7 Ganado",F247&lt;&gt;"8 Perdido"),1,0)</f>
        <v/>
      </c>
    </row>
    <row r="248">
      <c r="A248" s="17" t="n"/>
      <c r="B248" s="19" t="n"/>
      <c r="C248" s="19" t="n"/>
      <c r="D248" s="19" t="n"/>
      <c r="E248" s="19" t="n"/>
      <c r="F248" s="19" t="n"/>
      <c r="G248" s="19" t="n"/>
      <c r="H248" s="24">
        <f>IF(G248="","",IFERROR(VLOOKUP(G248,Parametros!$A$5:$B$10,2,FALSE),0))</f>
        <v/>
      </c>
      <c r="I248" s="19" t="n"/>
      <c r="J248" s="17" t="n"/>
      <c r="K248">
        <f>IF(OR(B248="",F248="7 Ganado",F248="8 Perdido"),"",IF(J248="","SIN FECHA",IF(J248&lt;Parametros!$B$2,"VENCIDO","OK")))</f>
        <v/>
      </c>
      <c r="L248" s="19" t="n"/>
      <c r="M248">
        <f>IF(AND(B248&lt;&gt;"",F248&lt;&gt;"7 Ganado",F248&lt;&gt;"8 Perdido"),1,0)</f>
        <v/>
      </c>
    </row>
    <row r="249">
      <c r="A249" s="17" t="n"/>
      <c r="B249" s="19" t="n"/>
      <c r="C249" s="19" t="n"/>
      <c r="D249" s="19" t="n"/>
      <c r="E249" s="19" t="n"/>
      <c r="F249" s="19" t="n"/>
      <c r="G249" s="19" t="n"/>
      <c r="H249" s="24">
        <f>IF(G249="","",IFERROR(VLOOKUP(G249,Parametros!$A$5:$B$10,2,FALSE),0))</f>
        <v/>
      </c>
      <c r="I249" s="19" t="n"/>
      <c r="J249" s="17" t="n"/>
      <c r="K249">
        <f>IF(OR(B249="",F249="7 Ganado",F249="8 Perdido"),"",IF(J249="","SIN FECHA",IF(J249&lt;Parametros!$B$2,"VENCIDO","OK")))</f>
        <v/>
      </c>
      <c r="L249" s="19" t="n"/>
      <c r="M249">
        <f>IF(AND(B249&lt;&gt;"",F249&lt;&gt;"7 Ganado",F249&lt;&gt;"8 Perdido"),1,0)</f>
        <v/>
      </c>
    </row>
    <row r="250">
      <c r="A250" s="17" t="n"/>
      <c r="B250" s="19" t="n"/>
      <c r="C250" s="19" t="n"/>
      <c r="D250" s="19" t="n"/>
      <c r="E250" s="19" t="n"/>
      <c r="F250" s="19" t="n"/>
      <c r="G250" s="19" t="n"/>
      <c r="H250" s="24">
        <f>IF(G250="","",IFERROR(VLOOKUP(G250,Parametros!$A$5:$B$10,2,FALSE),0))</f>
        <v/>
      </c>
      <c r="I250" s="19" t="n"/>
      <c r="J250" s="17" t="n"/>
      <c r="K250">
        <f>IF(OR(B250="",F250="7 Ganado",F250="8 Perdido"),"",IF(J250="","SIN FECHA",IF(J250&lt;Parametros!$B$2,"VENCIDO","OK")))</f>
        <v/>
      </c>
      <c r="L250" s="19" t="n"/>
      <c r="M250">
        <f>IF(AND(B250&lt;&gt;"",F250&lt;&gt;"7 Ganado",F250&lt;&gt;"8 Perdido"),1,0)</f>
        <v/>
      </c>
    </row>
    <row r="251">
      <c r="A251" s="17" t="n"/>
      <c r="B251" s="19" t="n"/>
      <c r="C251" s="19" t="n"/>
      <c r="D251" s="19" t="n"/>
      <c r="E251" s="19" t="n"/>
      <c r="F251" s="19" t="n"/>
      <c r="G251" s="19" t="n"/>
      <c r="H251" s="24">
        <f>IF(G251="","",IFERROR(VLOOKUP(G251,Parametros!$A$5:$B$10,2,FALSE),0))</f>
        <v/>
      </c>
      <c r="I251" s="19" t="n"/>
      <c r="J251" s="17" t="n"/>
      <c r="K251">
        <f>IF(OR(B251="",F251="7 Ganado",F251="8 Perdido"),"",IF(J251="","SIN FECHA",IF(J251&lt;Parametros!$B$2,"VENCIDO","OK")))</f>
        <v/>
      </c>
      <c r="L251" s="19" t="n"/>
      <c r="M251">
        <f>IF(AND(B251&lt;&gt;"",F251&lt;&gt;"7 Ganado",F251&lt;&gt;"8 Perdido"),1,0)</f>
        <v/>
      </c>
    </row>
    <row r="252">
      <c r="A252" s="17" t="n"/>
      <c r="B252" s="19" t="n"/>
      <c r="C252" s="19" t="n"/>
      <c r="D252" s="19" t="n"/>
      <c r="E252" s="19" t="n"/>
      <c r="F252" s="19" t="n"/>
      <c r="G252" s="19" t="n"/>
      <c r="H252" s="24">
        <f>IF(G252="","",IFERROR(VLOOKUP(G252,Parametros!$A$5:$B$10,2,FALSE),0))</f>
        <v/>
      </c>
      <c r="I252" s="19" t="n"/>
      <c r="J252" s="17" t="n"/>
      <c r="K252">
        <f>IF(OR(B252="",F252="7 Ganado",F252="8 Perdido"),"",IF(J252="","SIN FECHA",IF(J252&lt;Parametros!$B$2,"VENCIDO","OK")))</f>
        <v/>
      </c>
      <c r="L252" s="19" t="n"/>
      <c r="M252">
        <f>IF(AND(B252&lt;&gt;"",F252&lt;&gt;"7 Ganado",F252&lt;&gt;"8 Perdido"),1,0)</f>
        <v/>
      </c>
    </row>
    <row r="253">
      <c r="A253" s="17" t="n"/>
      <c r="B253" s="19" t="n"/>
      <c r="C253" s="19" t="n"/>
      <c r="D253" s="19" t="n"/>
      <c r="E253" s="19" t="n"/>
      <c r="F253" s="19" t="n"/>
      <c r="G253" s="19" t="n"/>
      <c r="H253" s="24">
        <f>IF(G253="","",IFERROR(VLOOKUP(G253,Parametros!$A$5:$B$10,2,FALSE),0))</f>
        <v/>
      </c>
      <c r="I253" s="19" t="n"/>
      <c r="J253" s="17" t="n"/>
      <c r="K253">
        <f>IF(OR(B253="",F253="7 Ganado",F253="8 Perdido"),"",IF(J253="","SIN FECHA",IF(J253&lt;Parametros!$B$2,"VENCIDO","OK")))</f>
        <v/>
      </c>
      <c r="L253" s="19" t="n"/>
      <c r="M253">
        <f>IF(AND(B253&lt;&gt;"",F253&lt;&gt;"7 Ganado",F253&lt;&gt;"8 Perdido"),1,0)</f>
        <v/>
      </c>
    </row>
    <row r="254">
      <c r="A254" s="17" t="n"/>
      <c r="B254" s="19" t="n"/>
      <c r="C254" s="19" t="n"/>
      <c r="D254" s="19" t="n"/>
      <c r="E254" s="19" t="n"/>
      <c r="F254" s="19" t="n"/>
      <c r="G254" s="19" t="n"/>
      <c r="H254" s="24">
        <f>IF(G254="","",IFERROR(VLOOKUP(G254,Parametros!$A$5:$B$10,2,FALSE),0))</f>
        <v/>
      </c>
      <c r="I254" s="19" t="n"/>
      <c r="J254" s="17" t="n"/>
      <c r="K254">
        <f>IF(OR(B254="",F254="7 Ganado",F254="8 Perdido"),"",IF(J254="","SIN FECHA",IF(J254&lt;Parametros!$B$2,"VENCIDO","OK")))</f>
        <v/>
      </c>
      <c r="L254" s="19" t="n"/>
      <c r="M254">
        <f>IF(AND(B254&lt;&gt;"",F254&lt;&gt;"7 Ganado",F254&lt;&gt;"8 Perdido"),1,0)</f>
        <v/>
      </c>
    </row>
    <row r="255">
      <c r="A255" s="17" t="n"/>
      <c r="B255" s="19" t="n"/>
      <c r="C255" s="19" t="n"/>
      <c r="D255" s="19" t="n"/>
      <c r="E255" s="19" t="n"/>
      <c r="F255" s="19" t="n"/>
      <c r="G255" s="19" t="n"/>
      <c r="H255" s="24">
        <f>IF(G255="","",IFERROR(VLOOKUP(G255,Parametros!$A$5:$B$10,2,FALSE),0))</f>
        <v/>
      </c>
      <c r="I255" s="19" t="n"/>
      <c r="J255" s="17" t="n"/>
      <c r="K255">
        <f>IF(OR(B255="",F255="7 Ganado",F255="8 Perdido"),"",IF(J255="","SIN FECHA",IF(J255&lt;Parametros!$B$2,"VENCIDO","OK")))</f>
        <v/>
      </c>
      <c r="L255" s="19" t="n"/>
      <c r="M255">
        <f>IF(AND(B255&lt;&gt;"",F255&lt;&gt;"7 Ganado",F255&lt;&gt;"8 Perdido"),1,0)</f>
        <v/>
      </c>
    </row>
    <row r="256">
      <c r="A256" s="17" t="n"/>
      <c r="B256" s="19" t="n"/>
      <c r="C256" s="19" t="n"/>
      <c r="D256" s="19" t="n"/>
      <c r="E256" s="19" t="n"/>
      <c r="F256" s="19" t="n"/>
      <c r="G256" s="19" t="n"/>
      <c r="H256" s="24">
        <f>IF(G256="","",IFERROR(VLOOKUP(G256,Parametros!$A$5:$B$10,2,FALSE),0))</f>
        <v/>
      </c>
      <c r="I256" s="19" t="n"/>
      <c r="J256" s="17" t="n"/>
      <c r="K256">
        <f>IF(OR(B256="",F256="7 Ganado",F256="8 Perdido"),"",IF(J256="","SIN FECHA",IF(J256&lt;Parametros!$B$2,"VENCIDO","OK")))</f>
        <v/>
      </c>
      <c r="L256" s="19" t="n"/>
      <c r="M256">
        <f>IF(AND(B256&lt;&gt;"",F256&lt;&gt;"7 Ganado",F256&lt;&gt;"8 Perdido"),1,0)</f>
        <v/>
      </c>
    </row>
    <row r="257">
      <c r="A257" s="17" t="n"/>
      <c r="B257" s="19" t="n"/>
      <c r="C257" s="19" t="n"/>
      <c r="D257" s="19" t="n"/>
      <c r="E257" s="19" t="n"/>
      <c r="F257" s="19" t="n"/>
      <c r="G257" s="19" t="n"/>
      <c r="H257" s="24">
        <f>IF(G257="","",IFERROR(VLOOKUP(G257,Parametros!$A$5:$B$10,2,FALSE),0))</f>
        <v/>
      </c>
      <c r="I257" s="19" t="n"/>
      <c r="J257" s="17" t="n"/>
      <c r="K257">
        <f>IF(OR(B257="",F257="7 Ganado",F257="8 Perdido"),"",IF(J257="","SIN FECHA",IF(J257&lt;Parametros!$B$2,"VENCIDO","OK")))</f>
        <v/>
      </c>
      <c r="L257" s="19" t="n"/>
      <c r="M257">
        <f>IF(AND(B257&lt;&gt;"",F257&lt;&gt;"7 Ganado",F257&lt;&gt;"8 Perdido"),1,0)</f>
        <v/>
      </c>
    </row>
    <row r="258">
      <c r="A258" s="17" t="n"/>
      <c r="B258" s="19" t="n"/>
      <c r="C258" s="19" t="n"/>
      <c r="D258" s="19" t="n"/>
      <c r="E258" s="19" t="n"/>
      <c r="F258" s="19" t="n"/>
      <c r="G258" s="19" t="n"/>
      <c r="H258" s="24">
        <f>IF(G258="","",IFERROR(VLOOKUP(G258,Parametros!$A$5:$B$10,2,FALSE),0))</f>
        <v/>
      </c>
      <c r="I258" s="19" t="n"/>
      <c r="J258" s="17" t="n"/>
      <c r="K258">
        <f>IF(OR(B258="",F258="7 Ganado",F258="8 Perdido"),"",IF(J258="","SIN FECHA",IF(J258&lt;Parametros!$B$2,"VENCIDO","OK")))</f>
        <v/>
      </c>
      <c r="L258" s="19" t="n"/>
      <c r="M258">
        <f>IF(AND(B258&lt;&gt;"",F258&lt;&gt;"7 Ganado",F258&lt;&gt;"8 Perdido"),1,0)</f>
        <v/>
      </c>
    </row>
    <row r="259">
      <c r="A259" s="17" t="n"/>
      <c r="B259" s="19" t="n"/>
      <c r="C259" s="19" t="n"/>
      <c r="D259" s="19" t="n"/>
      <c r="E259" s="19" t="n"/>
      <c r="F259" s="19" t="n"/>
      <c r="G259" s="19" t="n"/>
      <c r="H259" s="24">
        <f>IF(G259="","",IFERROR(VLOOKUP(G259,Parametros!$A$5:$B$10,2,FALSE),0))</f>
        <v/>
      </c>
      <c r="I259" s="19" t="n"/>
      <c r="J259" s="17" t="n"/>
      <c r="K259">
        <f>IF(OR(B259="",F259="7 Ganado",F259="8 Perdido"),"",IF(J259="","SIN FECHA",IF(J259&lt;Parametros!$B$2,"VENCIDO","OK")))</f>
        <v/>
      </c>
      <c r="L259" s="19" t="n"/>
      <c r="M259">
        <f>IF(AND(B259&lt;&gt;"",F259&lt;&gt;"7 Ganado",F259&lt;&gt;"8 Perdido"),1,0)</f>
        <v/>
      </c>
    </row>
    <row r="260">
      <c r="A260" s="17" t="n"/>
      <c r="B260" s="19" t="n"/>
      <c r="C260" s="19" t="n"/>
      <c r="D260" s="19" t="n"/>
      <c r="E260" s="19" t="n"/>
      <c r="F260" s="19" t="n"/>
      <c r="G260" s="19" t="n"/>
      <c r="H260" s="24">
        <f>IF(G260="","",IFERROR(VLOOKUP(G260,Parametros!$A$5:$B$10,2,FALSE),0))</f>
        <v/>
      </c>
      <c r="I260" s="19" t="n"/>
      <c r="J260" s="17" t="n"/>
      <c r="K260">
        <f>IF(OR(B260="",F260="7 Ganado",F260="8 Perdido"),"",IF(J260="","SIN FECHA",IF(J260&lt;Parametros!$B$2,"VENCIDO","OK")))</f>
        <v/>
      </c>
      <c r="L260" s="19" t="n"/>
      <c r="M260">
        <f>IF(AND(B260&lt;&gt;"",F260&lt;&gt;"7 Ganado",F260&lt;&gt;"8 Perdido"),1,0)</f>
        <v/>
      </c>
    </row>
    <row r="261">
      <c r="A261" s="17" t="n"/>
      <c r="B261" s="19" t="n"/>
      <c r="C261" s="19" t="n"/>
      <c r="D261" s="19" t="n"/>
      <c r="E261" s="19" t="n"/>
      <c r="F261" s="19" t="n"/>
      <c r="G261" s="19" t="n"/>
      <c r="H261" s="24">
        <f>IF(G261="","",IFERROR(VLOOKUP(G261,Parametros!$A$5:$B$10,2,FALSE),0))</f>
        <v/>
      </c>
      <c r="I261" s="19" t="n"/>
      <c r="J261" s="17" t="n"/>
      <c r="K261">
        <f>IF(OR(B261="",F261="7 Ganado",F261="8 Perdido"),"",IF(J261="","SIN FECHA",IF(J261&lt;Parametros!$B$2,"VENCIDO","OK")))</f>
        <v/>
      </c>
      <c r="L261" s="19" t="n"/>
      <c r="M261">
        <f>IF(AND(B261&lt;&gt;"",F261&lt;&gt;"7 Ganado",F261&lt;&gt;"8 Perdido"),1,0)</f>
        <v/>
      </c>
    </row>
    <row r="262">
      <c r="A262" s="17" t="n"/>
      <c r="B262" s="19" t="n"/>
      <c r="C262" s="19" t="n"/>
      <c r="D262" s="19" t="n"/>
      <c r="E262" s="19" t="n"/>
      <c r="F262" s="19" t="n"/>
      <c r="G262" s="19" t="n"/>
      <c r="H262" s="24">
        <f>IF(G262="","",IFERROR(VLOOKUP(G262,Parametros!$A$5:$B$10,2,FALSE),0))</f>
        <v/>
      </c>
      <c r="I262" s="19" t="n"/>
      <c r="J262" s="17" t="n"/>
      <c r="K262">
        <f>IF(OR(B262="",F262="7 Ganado",F262="8 Perdido"),"",IF(J262="","SIN FECHA",IF(J262&lt;Parametros!$B$2,"VENCIDO","OK")))</f>
        <v/>
      </c>
      <c r="L262" s="19" t="n"/>
      <c r="M262">
        <f>IF(AND(B262&lt;&gt;"",F262&lt;&gt;"7 Ganado",F262&lt;&gt;"8 Perdido"),1,0)</f>
        <v/>
      </c>
    </row>
    <row r="263">
      <c r="A263" s="17" t="n"/>
      <c r="B263" s="19" t="n"/>
      <c r="C263" s="19" t="n"/>
      <c r="D263" s="19" t="n"/>
      <c r="E263" s="19" t="n"/>
      <c r="F263" s="19" t="n"/>
      <c r="G263" s="19" t="n"/>
      <c r="H263" s="24">
        <f>IF(G263="","",IFERROR(VLOOKUP(G263,Parametros!$A$5:$B$10,2,FALSE),0))</f>
        <v/>
      </c>
      <c r="I263" s="19" t="n"/>
      <c r="J263" s="17" t="n"/>
      <c r="K263">
        <f>IF(OR(B263="",F263="7 Ganado",F263="8 Perdido"),"",IF(J263="","SIN FECHA",IF(J263&lt;Parametros!$B$2,"VENCIDO","OK")))</f>
        <v/>
      </c>
      <c r="L263" s="19" t="n"/>
      <c r="M263">
        <f>IF(AND(B263&lt;&gt;"",F263&lt;&gt;"7 Ganado",F263&lt;&gt;"8 Perdido"),1,0)</f>
        <v/>
      </c>
    </row>
    <row r="264">
      <c r="A264" s="17" t="n"/>
      <c r="B264" s="19" t="n"/>
      <c r="C264" s="19" t="n"/>
      <c r="D264" s="19" t="n"/>
      <c r="E264" s="19" t="n"/>
      <c r="F264" s="19" t="n"/>
      <c r="G264" s="19" t="n"/>
      <c r="H264" s="24">
        <f>IF(G264="","",IFERROR(VLOOKUP(G264,Parametros!$A$5:$B$10,2,FALSE),0))</f>
        <v/>
      </c>
      <c r="I264" s="19" t="n"/>
      <c r="J264" s="17" t="n"/>
      <c r="K264">
        <f>IF(OR(B264="",F264="7 Ganado",F264="8 Perdido"),"",IF(J264="","SIN FECHA",IF(J264&lt;Parametros!$B$2,"VENCIDO","OK")))</f>
        <v/>
      </c>
      <c r="L264" s="19" t="n"/>
      <c r="M264">
        <f>IF(AND(B264&lt;&gt;"",F264&lt;&gt;"7 Ganado",F264&lt;&gt;"8 Perdido"),1,0)</f>
        <v/>
      </c>
    </row>
    <row r="265">
      <c r="A265" s="17" t="n"/>
      <c r="B265" s="19" t="n"/>
      <c r="C265" s="19" t="n"/>
      <c r="D265" s="19" t="n"/>
      <c r="E265" s="19" t="n"/>
      <c r="F265" s="19" t="n"/>
      <c r="G265" s="19" t="n"/>
      <c r="H265" s="24">
        <f>IF(G265="","",IFERROR(VLOOKUP(G265,Parametros!$A$5:$B$10,2,FALSE),0))</f>
        <v/>
      </c>
      <c r="I265" s="19" t="n"/>
      <c r="J265" s="17" t="n"/>
      <c r="K265">
        <f>IF(OR(B265="",F265="7 Ganado",F265="8 Perdido"),"",IF(J265="","SIN FECHA",IF(J265&lt;Parametros!$B$2,"VENCIDO","OK")))</f>
        <v/>
      </c>
      <c r="L265" s="19" t="n"/>
      <c r="M265">
        <f>IF(AND(B265&lt;&gt;"",F265&lt;&gt;"7 Ganado",F265&lt;&gt;"8 Perdido"),1,0)</f>
        <v/>
      </c>
    </row>
    <row r="266">
      <c r="A266" s="17" t="n"/>
      <c r="B266" s="19" t="n"/>
      <c r="C266" s="19" t="n"/>
      <c r="D266" s="19" t="n"/>
      <c r="E266" s="19" t="n"/>
      <c r="F266" s="19" t="n"/>
      <c r="G266" s="19" t="n"/>
      <c r="H266" s="24">
        <f>IF(G266="","",IFERROR(VLOOKUP(G266,Parametros!$A$5:$B$10,2,FALSE),0))</f>
        <v/>
      </c>
      <c r="I266" s="19" t="n"/>
      <c r="J266" s="17" t="n"/>
      <c r="K266">
        <f>IF(OR(B266="",F266="7 Ganado",F266="8 Perdido"),"",IF(J266="","SIN FECHA",IF(J266&lt;Parametros!$B$2,"VENCIDO","OK")))</f>
        <v/>
      </c>
      <c r="L266" s="19" t="n"/>
      <c r="M266">
        <f>IF(AND(B266&lt;&gt;"",F266&lt;&gt;"7 Ganado",F266&lt;&gt;"8 Perdido"),1,0)</f>
        <v/>
      </c>
    </row>
    <row r="267">
      <c r="A267" s="17" t="n"/>
      <c r="B267" s="19" t="n"/>
      <c r="C267" s="19" t="n"/>
      <c r="D267" s="19" t="n"/>
      <c r="E267" s="19" t="n"/>
      <c r="F267" s="19" t="n"/>
      <c r="G267" s="19" t="n"/>
      <c r="H267" s="24">
        <f>IF(G267="","",IFERROR(VLOOKUP(G267,Parametros!$A$5:$B$10,2,FALSE),0))</f>
        <v/>
      </c>
      <c r="I267" s="19" t="n"/>
      <c r="J267" s="17" t="n"/>
      <c r="K267">
        <f>IF(OR(B267="",F267="7 Ganado",F267="8 Perdido"),"",IF(J267="","SIN FECHA",IF(J267&lt;Parametros!$B$2,"VENCIDO","OK")))</f>
        <v/>
      </c>
      <c r="L267" s="19" t="n"/>
      <c r="M267">
        <f>IF(AND(B267&lt;&gt;"",F267&lt;&gt;"7 Ganado",F267&lt;&gt;"8 Perdido"),1,0)</f>
        <v/>
      </c>
    </row>
    <row r="268">
      <c r="A268" s="17" t="n"/>
      <c r="B268" s="19" t="n"/>
      <c r="C268" s="19" t="n"/>
      <c r="D268" s="19" t="n"/>
      <c r="E268" s="19" t="n"/>
      <c r="F268" s="19" t="n"/>
      <c r="G268" s="19" t="n"/>
      <c r="H268" s="24">
        <f>IF(G268="","",IFERROR(VLOOKUP(G268,Parametros!$A$5:$B$10,2,FALSE),0))</f>
        <v/>
      </c>
      <c r="I268" s="19" t="n"/>
      <c r="J268" s="17" t="n"/>
      <c r="K268">
        <f>IF(OR(B268="",F268="7 Ganado",F268="8 Perdido"),"",IF(J268="","SIN FECHA",IF(J268&lt;Parametros!$B$2,"VENCIDO","OK")))</f>
        <v/>
      </c>
      <c r="L268" s="19" t="n"/>
      <c r="M268">
        <f>IF(AND(B268&lt;&gt;"",F268&lt;&gt;"7 Ganado",F268&lt;&gt;"8 Perdido"),1,0)</f>
        <v/>
      </c>
    </row>
    <row r="269">
      <c r="A269" s="17" t="n"/>
      <c r="B269" s="19" t="n"/>
      <c r="C269" s="19" t="n"/>
      <c r="D269" s="19" t="n"/>
      <c r="E269" s="19" t="n"/>
      <c r="F269" s="19" t="n"/>
      <c r="G269" s="19" t="n"/>
      <c r="H269" s="24">
        <f>IF(G269="","",IFERROR(VLOOKUP(G269,Parametros!$A$5:$B$10,2,FALSE),0))</f>
        <v/>
      </c>
      <c r="I269" s="19" t="n"/>
      <c r="J269" s="17" t="n"/>
      <c r="K269">
        <f>IF(OR(B269="",F269="7 Ganado",F269="8 Perdido"),"",IF(J269="","SIN FECHA",IF(J269&lt;Parametros!$B$2,"VENCIDO","OK")))</f>
        <v/>
      </c>
      <c r="L269" s="19" t="n"/>
      <c r="M269">
        <f>IF(AND(B269&lt;&gt;"",F269&lt;&gt;"7 Ganado",F269&lt;&gt;"8 Perdido"),1,0)</f>
        <v/>
      </c>
    </row>
    <row r="270">
      <c r="A270" s="17" t="n"/>
      <c r="B270" s="19" t="n"/>
      <c r="C270" s="19" t="n"/>
      <c r="D270" s="19" t="n"/>
      <c r="E270" s="19" t="n"/>
      <c r="F270" s="19" t="n"/>
      <c r="G270" s="19" t="n"/>
      <c r="H270" s="24">
        <f>IF(G270="","",IFERROR(VLOOKUP(G270,Parametros!$A$5:$B$10,2,FALSE),0))</f>
        <v/>
      </c>
      <c r="I270" s="19" t="n"/>
      <c r="J270" s="17" t="n"/>
      <c r="K270">
        <f>IF(OR(B270="",F270="7 Ganado",F270="8 Perdido"),"",IF(J270="","SIN FECHA",IF(J270&lt;Parametros!$B$2,"VENCIDO","OK")))</f>
        <v/>
      </c>
      <c r="L270" s="19" t="n"/>
      <c r="M270">
        <f>IF(AND(B270&lt;&gt;"",F270&lt;&gt;"7 Ganado",F270&lt;&gt;"8 Perdido"),1,0)</f>
        <v/>
      </c>
    </row>
    <row r="271">
      <c r="A271" s="17" t="n"/>
      <c r="B271" s="19" t="n"/>
      <c r="C271" s="19" t="n"/>
      <c r="D271" s="19" t="n"/>
      <c r="E271" s="19" t="n"/>
      <c r="F271" s="19" t="n"/>
      <c r="G271" s="19" t="n"/>
      <c r="H271" s="24">
        <f>IF(G271="","",IFERROR(VLOOKUP(G271,Parametros!$A$5:$B$10,2,FALSE),0))</f>
        <v/>
      </c>
      <c r="I271" s="19" t="n"/>
      <c r="J271" s="17" t="n"/>
      <c r="K271">
        <f>IF(OR(B271="",F271="7 Ganado",F271="8 Perdido"),"",IF(J271="","SIN FECHA",IF(J271&lt;Parametros!$B$2,"VENCIDO","OK")))</f>
        <v/>
      </c>
      <c r="L271" s="19" t="n"/>
      <c r="M271">
        <f>IF(AND(B271&lt;&gt;"",F271&lt;&gt;"7 Ganado",F271&lt;&gt;"8 Perdido"),1,0)</f>
        <v/>
      </c>
    </row>
    <row r="272">
      <c r="A272" s="17" t="n"/>
      <c r="B272" s="19" t="n"/>
      <c r="C272" s="19" t="n"/>
      <c r="D272" s="19" t="n"/>
      <c r="E272" s="19" t="n"/>
      <c r="F272" s="19" t="n"/>
      <c r="G272" s="19" t="n"/>
      <c r="H272" s="24">
        <f>IF(G272="","",IFERROR(VLOOKUP(G272,Parametros!$A$5:$B$10,2,FALSE),0))</f>
        <v/>
      </c>
      <c r="I272" s="19" t="n"/>
      <c r="J272" s="17" t="n"/>
      <c r="K272">
        <f>IF(OR(B272="",F272="7 Ganado",F272="8 Perdido"),"",IF(J272="","SIN FECHA",IF(J272&lt;Parametros!$B$2,"VENCIDO","OK")))</f>
        <v/>
      </c>
      <c r="L272" s="19" t="n"/>
      <c r="M272">
        <f>IF(AND(B272&lt;&gt;"",F272&lt;&gt;"7 Ganado",F272&lt;&gt;"8 Perdido"),1,0)</f>
        <v/>
      </c>
    </row>
    <row r="273">
      <c r="A273" s="17" t="n"/>
      <c r="B273" s="19" t="n"/>
      <c r="C273" s="19" t="n"/>
      <c r="D273" s="19" t="n"/>
      <c r="E273" s="19" t="n"/>
      <c r="F273" s="19" t="n"/>
      <c r="G273" s="19" t="n"/>
      <c r="H273" s="24">
        <f>IF(G273="","",IFERROR(VLOOKUP(G273,Parametros!$A$5:$B$10,2,FALSE),0))</f>
        <v/>
      </c>
      <c r="I273" s="19" t="n"/>
      <c r="J273" s="17" t="n"/>
      <c r="K273">
        <f>IF(OR(B273="",F273="7 Ganado",F273="8 Perdido"),"",IF(J273="","SIN FECHA",IF(J273&lt;Parametros!$B$2,"VENCIDO","OK")))</f>
        <v/>
      </c>
      <c r="L273" s="19" t="n"/>
      <c r="M273">
        <f>IF(AND(B273&lt;&gt;"",F273&lt;&gt;"7 Ganado",F273&lt;&gt;"8 Perdido"),1,0)</f>
        <v/>
      </c>
    </row>
    <row r="274">
      <c r="A274" s="17" t="n"/>
      <c r="B274" s="19" t="n"/>
      <c r="C274" s="19" t="n"/>
      <c r="D274" s="19" t="n"/>
      <c r="E274" s="19" t="n"/>
      <c r="F274" s="19" t="n"/>
      <c r="G274" s="19" t="n"/>
      <c r="H274" s="24">
        <f>IF(G274="","",IFERROR(VLOOKUP(G274,Parametros!$A$5:$B$10,2,FALSE),0))</f>
        <v/>
      </c>
      <c r="I274" s="19" t="n"/>
      <c r="J274" s="17" t="n"/>
      <c r="K274">
        <f>IF(OR(B274="",F274="7 Ganado",F274="8 Perdido"),"",IF(J274="","SIN FECHA",IF(J274&lt;Parametros!$B$2,"VENCIDO","OK")))</f>
        <v/>
      </c>
      <c r="L274" s="19" t="n"/>
      <c r="M274">
        <f>IF(AND(B274&lt;&gt;"",F274&lt;&gt;"7 Ganado",F274&lt;&gt;"8 Perdido"),1,0)</f>
        <v/>
      </c>
    </row>
    <row r="275">
      <c r="A275" s="17" t="n"/>
      <c r="B275" s="19" t="n"/>
      <c r="C275" s="19" t="n"/>
      <c r="D275" s="19" t="n"/>
      <c r="E275" s="19" t="n"/>
      <c r="F275" s="19" t="n"/>
      <c r="G275" s="19" t="n"/>
      <c r="H275" s="24">
        <f>IF(G275="","",IFERROR(VLOOKUP(G275,Parametros!$A$5:$B$10,2,FALSE),0))</f>
        <v/>
      </c>
      <c r="I275" s="19" t="n"/>
      <c r="J275" s="17" t="n"/>
      <c r="K275">
        <f>IF(OR(B275="",F275="7 Ganado",F275="8 Perdido"),"",IF(J275="","SIN FECHA",IF(J275&lt;Parametros!$B$2,"VENCIDO","OK")))</f>
        <v/>
      </c>
      <c r="L275" s="19" t="n"/>
      <c r="M275">
        <f>IF(AND(B275&lt;&gt;"",F275&lt;&gt;"7 Ganado",F275&lt;&gt;"8 Perdido"),1,0)</f>
        <v/>
      </c>
    </row>
    <row r="276">
      <c r="A276" s="17" t="n"/>
      <c r="B276" s="19" t="n"/>
      <c r="C276" s="19" t="n"/>
      <c r="D276" s="19" t="n"/>
      <c r="E276" s="19" t="n"/>
      <c r="F276" s="19" t="n"/>
      <c r="G276" s="19" t="n"/>
      <c r="H276" s="24">
        <f>IF(G276="","",IFERROR(VLOOKUP(G276,Parametros!$A$5:$B$10,2,FALSE),0))</f>
        <v/>
      </c>
      <c r="I276" s="19" t="n"/>
      <c r="J276" s="17" t="n"/>
      <c r="K276">
        <f>IF(OR(B276="",F276="7 Ganado",F276="8 Perdido"),"",IF(J276="","SIN FECHA",IF(J276&lt;Parametros!$B$2,"VENCIDO","OK")))</f>
        <v/>
      </c>
      <c r="L276" s="19" t="n"/>
      <c r="M276">
        <f>IF(AND(B276&lt;&gt;"",F276&lt;&gt;"7 Ganado",F276&lt;&gt;"8 Perdido"),1,0)</f>
        <v/>
      </c>
    </row>
    <row r="277">
      <c r="A277" s="17" t="n"/>
      <c r="B277" s="19" t="n"/>
      <c r="C277" s="19" t="n"/>
      <c r="D277" s="19" t="n"/>
      <c r="E277" s="19" t="n"/>
      <c r="F277" s="19" t="n"/>
      <c r="G277" s="19" t="n"/>
      <c r="H277" s="24">
        <f>IF(G277="","",IFERROR(VLOOKUP(G277,Parametros!$A$5:$B$10,2,FALSE),0))</f>
        <v/>
      </c>
      <c r="I277" s="19" t="n"/>
      <c r="J277" s="17" t="n"/>
      <c r="K277">
        <f>IF(OR(B277="",F277="7 Ganado",F277="8 Perdido"),"",IF(J277="","SIN FECHA",IF(J277&lt;Parametros!$B$2,"VENCIDO","OK")))</f>
        <v/>
      </c>
      <c r="L277" s="19" t="n"/>
      <c r="M277">
        <f>IF(AND(B277&lt;&gt;"",F277&lt;&gt;"7 Ganado",F277&lt;&gt;"8 Perdido"),1,0)</f>
        <v/>
      </c>
    </row>
    <row r="278">
      <c r="A278" s="17" t="n"/>
      <c r="B278" s="19" t="n"/>
      <c r="C278" s="19" t="n"/>
      <c r="D278" s="19" t="n"/>
      <c r="E278" s="19" t="n"/>
      <c r="F278" s="19" t="n"/>
      <c r="G278" s="19" t="n"/>
      <c r="H278" s="24">
        <f>IF(G278="","",IFERROR(VLOOKUP(G278,Parametros!$A$5:$B$10,2,FALSE),0))</f>
        <v/>
      </c>
      <c r="I278" s="19" t="n"/>
      <c r="J278" s="17" t="n"/>
      <c r="K278">
        <f>IF(OR(B278="",F278="7 Ganado",F278="8 Perdido"),"",IF(J278="","SIN FECHA",IF(J278&lt;Parametros!$B$2,"VENCIDO","OK")))</f>
        <v/>
      </c>
      <c r="L278" s="19" t="n"/>
      <c r="M278">
        <f>IF(AND(B278&lt;&gt;"",F278&lt;&gt;"7 Ganado",F278&lt;&gt;"8 Perdido"),1,0)</f>
        <v/>
      </c>
    </row>
    <row r="279">
      <c r="A279" s="17" t="n"/>
      <c r="B279" s="19" t="n"/>
      <c r="C279" s="19" t="n"/>
      <c r="D279" s="19" t="n"/>
      <c r="E279" s="19" t="n"/>
      <c r="F279" s="19" t="n"/>
      <c r="G279" s="19" t="n"/>
      <c r="H279" s="24">
        <f>IF(G279="","",IFERROR(VLOOKUP(G279,Parametros!$A$5:$B$10,2,FALSE),0))</f>
        <v/>
      </c>
      <c r="I279" s="19" t="n"/>
      <c r="J279" s="17" t="n"/>
      <c r="K279">
        <f>IF(OR(B279="",F279="7 Ganado",F279="8 Perdido"),"",IF(J279="","SIN FECHA",IF(J279&lt;Parametros!$B$2,"VENCIDO","OK")))</f>
        <v/>
      </c>
      <c r="L279" s="19" t="n"/>
      <c r="M279">
        <f>IF(AND(B279&lt;&gt;"",F279&lt;&gt;"7 Ganado",F279&lt;&gt;"8 Perdido"),1,0)</f>
        <v/>
      </c>
    </row>
    <row r="280">
      <c r="A280" s="17" t="n"/>
      <c r="B280" s="19" t="n"/>
      <c r="C280" s="19" t="n"/>
      <c r="D280" s="19" t="n"/>
      <c r="E280" s="19" t="n"/>
      <c r="F280" s="19" t="n"/>
      <c r="G280" s="19" t="n"/>
      <c r="H280" s="24">
        <f>IF(G280="","",IFERROR(VLOOKUP(G280,Parametros!$A$5:$B$10,2,FALSE),0))</f>
        <v/>
      </c>
      <c r="I280" s="19" t="n"/>
      <c r="J280" s="17" t="n"/>
      <c r="K280">
        <f>IF(OR(B280="",F280="7 Ganado",F280="8 Perdido"),"",IF(J280="","SIN FECHA",IF(J280&lt;Parametros!$B$2,"VENCIDO","OK")))</f>
        <v/>
      </c>
      <c r="L280" s="19" t="n"/>
      <c r="M280">
        <f>IF(AND(B280&lt;&gt;"",F280&lt;&gt;"7 Ganado",F280&lt;&gt;"8 Perdido"),1,0)</f>
        <v/>
      </c>
    </row>
    <row r="281">
      <c r="A281" s="17" t="n"/>
      <c r="B281" s="19" t="n"/>
      <c r="C281" s="19" t="n"/>
      <c r="D281" s="19" t="n"/>
      <c r="E281" s="19" t="n"/>
      <c r="F281" s="19" t="n"/>
      <c r="G281" s="19" t="n"/>
      <c r="H281" s="24">
        <f>IF(G281="","",IFERROR(VLOOKUP(G281,Parametros!$A$5:$B$10,2,FALSE),0))</f>
        <v/>
      </c>
      <c r="I281" s="19" t="n"/>
      <c r="J281" s="17" t="n"/>
      <c r="K281">
        <f>IF(OR(B281="",F281="7 Ganado",F281="8 Perdido"),"",IF(J281="","SIN FECHA",IF(J281&lt;Parametros!$B$2,"VENCIDO","OK")))</f>
        <v/>
      </c>
      <c r="L281" s="19" t="n"/>
      <c r="M281">
        <f>IF(AND(B281&lt;&gt;"",F281&lt;&gt;"7 Ganado",F281&lt;&gt;"8 Perdido"),1,0)</f>
        <v/>
      </c>
    </row>
    <row r="282">
      <c r="A282" s="17" t="n"/>
      <c r="B282" s="19" t="n"/>
      <c r="C282" s="19" t="n"/>
      <c r="D282" s="19" t="n"/>
      <c r="E282" s="19" t="n"/>
      <c r="F282" s="19" t="n"/>
      <c r="G282" s="19" t="n"/>
      <c r="H282" s="24">
        <f>IF(G282="","",IFERROR(VLOOKUP(G282,Parametros!$A$5:$B$10,2,FALSE),0))</f>
        <v/>
      </c>
      <c r="I282" s="19" t="n"/>
      <c r="J282" s="17" t="n"/>
      <c r="K282">
        <f>IF(OR(B282="",F282="7 Ganado",F282="8 Perdido"),"",IF(J282="","SIN FECHA",IF(J282&lt;Parametros!$B$2,"VENCIDO","OK")))</f>
        <v/>
      </c>
      <c r="L282" s="19" t="n"/>
      <c r="M282">
        <f>IF(AND(B282&lt;&gt;"",F282&lt;&gt;"7 Ganado",F282&lt;&gt;"8 Perdido"),1,0)</f>
        <v/>
      </c>
    </row>
    <row r="283">
      <c r="A283" s="17" t="n"/>
      <c r="B283" s="19" t="n"/>
      <c r="C283" s="19" t="n"/>
      <c r="D283" s="19" t="n"/>
      <c r="E283" s="19" t="n"/>
      <c r="F283" s="19" t="n"/>
      <c r="G283" s="19" t="n"/>
      <c r="H283" s="24">
        <f>IF(G283="","",IFERROR(VLOOKUP(G283,Parametros!$A$5:$B$10,2,FALSE),0))</f>
        <v/>
      </c>
      <c r="I283" s="19" t="n"/>
      <c r="J283" s="17" t="n"/>
      <c r="K283">
        <f>IF(OR(B283="",F283="7 Ganado",F283="8 Perdido"),"",IF(J283="","SIN FECHA",IF(J283&lt;Parametros!$B$2,"VENCIDO","OK")))</f>
        <v/>
      </c>
      <c r="L283" s="19" t="n"/>
      <c r="M283">
        <f>IF(AND(B283&lt;&gt;"",F283&lt;&gt;"7 Ganado",F283&lt;&gt;"8 Perdido"),1,0)</f>
        <v/>
      </c>
    </row>
    <row r="284">
      <c r="A284" s="17" t="n"/>
      <c r="B284" s="19" t="n"/>
      <c r="C284" s="19" t="n"/>
      <c r="D284" s="19" t="n"/>
      <c r="E284" s="19" t="n"/>
      <c r="F284" s="19" t="n"/>
      <c r="G284" s="19" t="n"/>
      <c r="H284" s="24">
        <f>IF(G284="","",IFERROR(VLOOKUP(G284,Parametros!$A$5:$B$10,2,FALSE),0))</f>
        <v/>
      </c>
      <c r="I284" s="19" t="n"/>
      <c r="J284" s="17" t="n"/>
      <c r="K284">
        <f>IF(OR(B284="",F284="7 Ganado",F284="8 Perdido"),"",IF(J284="","SIN FECHA",IF(J284&lt;Parametros!$B$2,"VENCIDO","OK")))</f>
        <v/>
      </c>
      <c r="L284" s="19" t="n"/>
      <c r="M284">
        <f>IF(AND(B284&lt;&gt;"",F284&lt;&gt;"7 Ganado",F284&lt;&gt;"8 Perdido"),1,0)</f>
        <v/>
      </c>
    </row>
    <row r="285">
      <c r="A285" s="17" t="n"/>
      <c r="B285" s="19" t="n"/>
      <c r="C285" s="19" t="n"/>
      <c r="D285" s="19" t="n"/>
      <c r="E285" s="19" t="n"/>
      <c r="F285" s="19" t="n"/>
      <c r="G285" s="19" t="n"/>
      <c r="H285" s="24">
        <f>IF(G285="","",IFERROR(VLOOKUP(G285,Parametros!$A$5:$B$10,2,FALSE),0))</f>
        <v/>
      </c>
      <c r="I285" s="19" t="n"/>
      <c r="J285" s="17" t="n"/>
      <c r="K285">
        <f>IF(OR(B285="",F285="7 Ganado",F285="8 Perdido"),"",IF(J285="","SIN FECHA",IF(J285&lt;Parametros!$B$2,"VENCIDO","OK")))</f>
        <v/>
      </c>
      <c r="L285" s="19" t="n"/>
      <c r="M285">
        <f>IF(AND(B285&lt;&gt;"",F285&lt;&gt;"7 Ganado",F285&lt;&gt;"8 Perdido"),1,0)</f>
        <v/>
      </c>
    </row>
    <row r="286">
      <c r="A286" s="17" t="n"/>
      <c r="B286" s="19" t="n"/>
      <c r="C286" s="19" t="n"/>
      <c r="D286" s="19" t="n"/>
      <c r="E286" s="19" t="n"/>
      <c r="F286" s="19" t="n"/>
      <c r="G286" s="19" t="n"/>
      <c r="H286" s="24">
        <f>IF(G286="","",IFERROR(VLOOKUP(G286,Parametros!$A$5:$B$10,2,FALSE),0))</f>
        <v/>
      </c>
      <c r="I286" s="19" t="n"/>
      <c r="J286" s="17" t="n"/>
      <c r="K286">
        <f>IF(OR(B286="",F286="7 Ganado",F286="8 Perdido"),"",IF(J286="","SIN FECHA",IF(J286&lt;Parametros!$B$2,"VENCIDO","OK")))</f>
        <v/>
      </c>
      <c r="L286" s="19" t="n"/>
      <c r="M286">
        <f>IF(AND(B286&lt;&gt;"",F286&lt;&gt;"7 Ganado",F286&lt;&gt;"8 Perdido"),1,0)</f>
        <v/>
      </c>
    </row>
    <row r="287">
      <c r="A287" s="17" t="n"/>
      <c r="B287" s="19" t="n"/>
      <c r="C287" s="19" t="n"/>
      <c r="D287" s="19" t="n"/>
      <c r="E287" s="19" t="n"/>
      <c r="F287" s="19" t="n"/>
      <c r="G287" s="19" t="n"/>
      <c r="H287" s="24">
        <f>IF(G287="","",IFERROR(VLOOKUP(G287,Parametros!$A$5:$B$10,2,FALSE),0))</f>
        <v/>
      </c>
      <c r="I287" s="19" t="n"/>
      <c r="J287" s="17" t="n"/>
      <c r="K287">
        <f>IF(OR(B287="",F287="7 Ganado",F287="8 Perdido"),"",IF(J287="","SIN FECHA",IF(J287&lt;Parametros!$B$2,"VENCIDO","OK")))</f>
        <v/>
      </c>
      <c r="L287" s="19" t="n"/>
      <c r="M287">
        <f>IF(AND(B287&lt;&gt;"",F287&lt;&gt;"7 Ganado",F287&lt;&gt;"8 Perdido"),1,0)</f>
        <v/>
      </c>
    </row>
    <row r="288">
      <c r="A288" s="17" t="n"/>
      <c r="B288" s="19" t="n"/>
      <c r="C288" s="19" t="n"/>
      <c r="D288" s="19" t="n"/>
      <c r="E288" s="19" t="n"/>
      <c r="F288" s="19" t="n"/>
      <c r="G288" s="19" t="n"/>
      <c r="H288" s="24">
        <f>IF(G288="","",IFERROR(VLOOKUP(G288,Parametros!$A$5:$B$10,2,FALSE),0))</f>
        <v/>
      </c>
      <c r="I288" s="19" t="n"/>
      <c r="J288" s="17" t="n"/>
      <c r="K288">
        <f>IF(OR(B288="",F288="7 Ganado",F288="8 Perdido"),"",IF(J288="","SIN FECHA",IF(J288&lt;Parametros!$B$2,"VENCIDO","OK")))</f>
        <v/>
      </c>
      <c r="L288" s="19" t="n"/>
      <c r="M288">
        <f>IF(AND(B288&lt;&gt;"",F288&lt;&gt;"7 Ganado",F288&lt;&gt;"8 Perdido"),1,0)</f>
        <v/>
      </c>
    </row>
    <row r="289">
      <c r="A289" s="17" t="n"/>
      <c r="B289" s="19" t="n"/>
      <c r="C289" s="19" t="n"/>
      <c r="D289" s="19" t="n"/>
      <c r="E289" s="19" t="n"/>
      <c r="F289" s="19" t="n"/>
      <c r="G289" s="19" t="n"/>
      <c r="H289" s="24">
        <f>IF(G289="","",IFERROR(VLOOKUP(G289,Parametros!$A$5:$B$10,2,FALSE),0))</f>
        <v/>
      </c>
      <c r="I289" s="19" t="n"/>
      <c r="J289" s="17" t="n"/>
      <c r="K289">
        <f>IF(OR(B289="",F289="7 Ganado",F289="8 Perdido"),"",IF(J289="","SIN FECHA",IF(J289&lt;Parametros!$B$2,"VENCIDO","OK")))</f>
        <v/>
      </c>
      <c r="L289" s="19" t="n"/>
      <c r="M289">
        <f>IF(AND(B289&lt;&gt;"",F289&lt;&gt;"7 Ganado",F289&lt;&gt;"8 Perdido"),1,0)</f>
        <v/>
      </c>
    </row>
    <row r="290">
      <c r="A290" s="17" t="n"/>
      <c r="B290" s="19" t="n"/>
      <c r="C290" s="19" t="n"/>
      <c r="D290" s="19" t="n"/>
      <c r="E290" s="19" t="n"/>
      <c r="F290" s="19" t="n"/>
      <c r="G290" s="19" t="n"/>
      <c r="H290" s="24">
        <f>IF(G290="","",IFERROR(VLOOKUP(G290,Parametros!$A$5:$B$10,2,FALSE),0))</f>
        <v/>
      </c>
      <c r="I290" s="19" t="n"/>
      <c r="J290" s="17" t="n"/>
      <c r="K290">
        <f>IF(OR(B290="",F290="7 Ganado",F290="8 Perdido"),"",IF(J290="","SIN FECHA",IF(J290&lt;Parametros!$B$2,"VENCIDO","OK")))</f>
        <v/>
      </c>
      <c r="L290" s="19" t="n"/>
      <c r="M290">
        <f>IF(AND(B290&lt;&gt;"",F290&lt;&gt;"7 Ganado",F290&lt;&gt;"8 Perdido"),1,0)</f>
        <v/>
      </c>
    </row>
    <row r="291">
      <c r="A291" s="17" t="n"/>
      <c r="B291" s="19" t="n"/>
      <c r="C291" s="19" t="n"/>
      <c r="D291" s="19" t="n"/>
      <c r="E291" s="19" t="n"/>
      <c r="F291" s="19" t="n"/>
      <c r="G291" s="19" t="n"/>
      <c r="H291" s="24">
        <f>IF(G291="","",IFERROR(VLOOKUP(G291,Parametros!$A$5:$B$10,2,FALSE),0))</f>
        <v/>
      </c>
      <c r="I291" s="19" t="n"/>
      <c r="J291" s="17" t="n"/>
      <c r="K291">
        <f>IF(OR(B291="",F291="7 Ganado",F291="8 Perdido"),"",IF(J291="","SIN FECHA",IF(J291&lt;Parametros!$B$2,"VENCIDO","OK")))</f>
        <v/>
      </c>
      <c r="L291" s="19" t="n"/>
      <c r="M291">
        <f>IF(AND(B291&lt;&gt;"",F291&lt;&gt;"7 Ganado",F291&lt;&gt;"8 Perdido"),1,0)</f>
        <v/>
      </c>
    </row>
    <row r="292">
      <c r="A292" s="17" t="n"/>
      <c r="B292" s="19" t="n"/>
      <c r="C292" s="19" t="n"/>
      <c r="D292" s="19" t="n"/>
      <c r="E292" s="19" t="n"/>
      <c r="F292" s="19" t="n"/>
      <c r="G292" s="19" t="n"/>
      <c r="H292" s="24">
        <f>IF(G292="","",IFERROR(VLOOKUP(G292,Parametros!$A$5:$B$10,2,FALSE),0))</f>
        <v/>
      </c>
      <c r="I292" s="19" t="n"/>
      <c r="J292" s="17" t="n"/>
      <c r="K292">
        <f>IF(OR(B292="",F292="7 Ganado",F292="8 Perdido"),"",IF(J292="","SIN FECHA",IF(J292&lt;Parametros!$B$2,"VENCIDO","OK")))</f>
        <v/>
      </c>
      <c r="L292" s="19" t="n"/>
      <c r="M292">
        <f>IF(AND(B292&lt;&gt;"",F292&lt;&gt;"7 Ganado",F292&lt;&gt;"8 Perdido"),1,0)</f>
        <v/>
      </c>
    </row>
    <row r="293">
      <c r="A293" s="17" t="n"/>
      <c r="B293" s="19" t="n"/>
      <c r="C293" s="19" t="n"/>
      <c r="D293" s="19" t="n"/>
      <c r="E293" s="19" t="n"/>
      <c r="F293" s="19" t="n"/>
      <c r="G293" s="19" t="n"/>
      <c r="H293" s="24">
        <f>IF(G293="","",IFERROR(VLOOKUP(G293,Parametros!$A$5:$B$10,2,FALSE),0))</f>
        <v/>
      </c>
      <c r="I293" s="19" t="n"/>
      <c r="J293" s="17" t="n"/>
      <c r="K293">
        <f>IF(OR(B293="",F293="7 Ganado",F293="8 Perdido"),"",IF(J293="","SIN FECHA",IF(J293&lt;Parametros!$B$2,"VENCIDO","OK")))</f>
        <v/>
      </c>
      <c r="L293" s="19" t="n"/>
      <c r="M293">
        <f>IF(AND(B293&lt;&gt;"",F293&lt;&gt;"7 Ganado",F293&lt;&gt;"8 Perdido"),1,0)</f>
        <v/>
      </c>
    </row>
    <row r="294">
      <c r="A294" s="17" t="n"/>
      <c r="B294" s="19" t="n"/>
      <c r="C294" s="19" t="n"/>
      <c r="D294" s="19" t="n"/>
      <c r="E294" s="19" t="n"/>
      <c r="F294" s="19" t="n"/>
      <c r="G294" s="19" t="n"/>
      <c r="H294" s="24">
        <f>IF(G294="","",IFERROR(VLOOKUP(G294,Parametros!$A$5:$B$10,2,FALSE),0))</f>
        <v/>
      </c>
      <c r="I294" s="19" t="n"/>
      <c r="J294" s="17" t="n"/>
      <c r="K294">
        <f>IF(OR(B294="",F294="7 Ganado",F294="8 Perdido"),"",IF(J294="","SIN FECHA",IF(J294&lt;Parametros!$B$2,"VENCIDO","OK")))</f>
        <v/>
      </c>
      <c r="L294" s="19" t="n"/>
      <c r="M294">
        <f>IF(AND(B294&lt;&gt;"",F294&lt;&gt;"7 Ganado",F294&lt;&gt;"8 Perdido"),1,0)</f>
        <v/>
      </c>
    </row>
    <row r="295">
      <c r="A295" s="17" t="n"/>
      <c r="B295" s="19" t="n"/>
      <c r="C295" s="19" t="n"/>
      <c r="D295" s="19" t="n"/>
      <c r="E295" s="19" t="n"/>
      <c r="F295" s="19" t="n"/>
      <c r="G295" s="19" t="n"/>
      <c r="H295" s="24">
        <f>IF(G295="","",IFERROR(VLOOKUP(G295,Parametros!$A$5:$B$10,2,FALSE),0))</f>
        <v/>
      </c>
      <c r="I295" s="19" t="n"/>
      <c r="J295" s="17" t="n"/>
      <c r="K295">
        <f>IF(OR(B295="",F295="7 Ganado",F295="8 Perdido"),"",IF(J295="","SIN FECHA",IF(J295&lt;Parametros!$B$2,"VENCIDO","OK")))</f>
        <v/>
      </c>
      <c r="L295" s="19" t="n"/>
      <c r="M295">
        <f>IF(AND(B295&lt;&gt;"",F295&lt;&gt;"7 Ganado",F295&lt;&gt;"8 Perdido"),1,0)</f>
        <v/>
      </c>
    </row>
    <row r="296">
      <c r="A296" s="17" t="n"/>
      <c r="B296" s="19" t="n"/>
      <c r="C296" s="19" t="n"/>
      <c r="D296" s="19" t="n"/>
      <c r="E296" s="19" t="n"/>
      <c r="F296" s="19" t="n"/>
      <c r="G296" s="19" t="n"/>
      <c r="H296" s="24">
        <f>IF(G296="","",IFERROR(VLOOKUP(G296,Parametros!$A$5:$B$10,2,FALSE),0))</f>
        <v/>
      </c>
      <c r="I296" s="19" t="n"/>
      <c r="J296" s="17" t="n"/>
      <c r="K296">
        <f>IF(OR(B296="",F296="7 Ganado",F296="8 Perdido"),"",IF(J296="","SIN FECHA",IF(J296&lt;Parametros!$B$2,"VENCIDO","OK")))</f>
        <v/>
      </c>
      <c r="L296" s="19" t="n"/>
      <c r="M296">
        <f>IF(AND(B296&lt;&gt;"",F296&lt;&gt;"7 Ganado",F296&lt;&gt;"8 Perdido"),1,0)</f>
        <v/>
      </c>
    </row>
    <row r="297">
      <c r="A297" s="17" t="n"/>
      <c r="B297" s="19" t="n"/>
      <c r="C297" s="19" t="n"/>
      <c r="D297" s="19" t="n"/>
      <c r="E297" s="19" t="n"/>
      <c r="F297" s="19" t="n"/>
      <c r="G297" s="19" t="n"/>
      <c r="H297" s="24">
        <f>IF(G297="","",IFERROR(VLOOKUP(G297,Parametros!$A$5:$B$10,2,FALSE),0))</f>
        <v/>
      </c>
      <c r="I297" s="19" t="n"/>
      <c r="J297" s="17" t="n"/>
      <c r="K297">
        <f>IF(OR(B297="",F297="7 Ganado",F297="8 Perdido"),"",IF(J297="","SIN FECHA",IF(J297&lt;Parametros!$B$2,"VENCIDO","OK")))</f>
        <v/>
      </c>
      <c r="L297" s="19" t="n"/>
      <c r="M297">
        <f>IF(AND(B297&lt;&gt;"",F297&lt;&gt;"7 Ganado",F297&lt;&gt;"8 Perdido"),1,0)</f>
        <v/>
      </c>
    </row>
    <row r="298">
      <c r="A298" s="17" t="n"/>
      <c r="B298" s="19" t="n"/>
      <c r="C298" s="19" t="n"/>
      <c r="D298" s="19" t="n"/>
      <c r="E298" s="19" t="n"/>
      <c r="F298" s="19" t="n"/>
      <c r="G298" s="19" t="n"/>
      <c r="H298" s="24">
        <f>IF(G298="","",IFERROR(VLOOKUP(G298,Parametros!$A$5:$B$10,2,FALSE),0))</f>
        <v/>
      </c>
      <c r="I298" s="19" t="n"/>
      <c r="J298" s="17" t="n"/>
      <c r="K298">
        <f>IF(OR(B298="",F298="7 Ganado",F298="8 Perdido"),"",IF(J298="","SIN FECHA",IF(J298&lt;Parametros!$B$2,"VENCIDO","OK")))</f>
        <v/>
      </c>
      <c r="L298" s="19" t="n"/>
      <c r="M298">
        <f>IF(AND(B298&lt;&gt;"",F298&lt;&gt;"7 Ganado",F298&lt;&gt;"8 Perdido"),1,0)</f>
        <v/>
      </c>
    </row>
    <row r="299">
      <c r="A299" s="17" t="n"/>
      <c r="B299" s="19" t="n"/>
      <c r="C299" s="19" t="n"/>
      <c r="D299" s="19" t="n"/>
      <c r="E299" s="19" t="n"/>
      <c r="F299" s="19" t="n"/>
      <c r="G299" s="19" t="n"/>
      <c r="H299" s="24">
        <f>IF(G299="","",IFERROR(VLOOKUP(G299,Parametros!$A$5:$B$10,2,FALSE),0))</f>
        <v/>
      </c>
      <c r="I299" s="19" t="n"/>
      <c r="J299" s="17" t="n"/>
      <c r="K299">
        <f>IF(OR(B299="",F299="7 Ganado",F299="8 Perdido"),"",IF(J299="","SIN FECHA",IF(J299&lt;Parametros!$B$2,"VENCIDO","OK")))</f>
        <v/>
      </c>
      <c r="L299" s="19" t="n"/>
      <c r="M299">
        <f>IF(AND(B299&lt;&gt;"",F299&lt;&gt;"7 Ganado",F299&lt;&gt;"8 Perdido"),1,0)</f>
        <v/>
      </c>
    </row>
    <row r="300">
      <c r="A300" s="17" t="n"/>
      <c r="B300" s="19" t="n"/>
      <c r="C300" s="19" t="n"/>
      <c r="D300" s="19" t="n"/>
      <c r="E300" s="19" t="n"/>
      <c r="F300" s="19" t="n"/>
      <c r="G300" s="19" t="n"/>
      <c r="H300" s="24">
        <f>IF(G300="","",IFERROR(VLOOKUP(G300,Parametros!$A$5:$B$10,2,FALSE),0))</f>
        <v/>
      </c>
      <c r="I300" s="19" t="n"/>
      <c r="J300" s="17" t="n"/>
      <c r="K300">
        <f>IF(OR(B300="",F300="7 Ganado",F300="8 Perdido"),"",IF(J300="","SIN FECHA",IF(J300&lt;Parametros!$B$2,"VENCIDO","OK")))</f>
        <v/>
      </c>
      <c r="L300" s="19" t="n"/>
      <c r="M300">
        <f>IF(AND(B300&lt;&gt;"",F300&lt;&gt;"7 Ganado",F300&lt;&gt;"8 Perdido"),1,0)</f>
        <v/>
      </c>
    </row>
    <row r="301">
      <c r="A301" s="17" t="n"/>
      <c r="B301" s="19" t="n"/>
      <c r="C301" s="19" t="n"/>
      <c r="D301" s="19" t="n"/>
      <c r="E301" s="19" t="n"/>
      <c r="F301" s="19" t="n"/>
      <c r="G301" s="19" t="n"/>
      <c r="H301" s="24">
        <f>IF(G301="","",IFERROR(VLOOKUP(G301,Parametros!$A$5:$B$10,2,FALSE),0))</f>
        <v/>
      </c>
      <c r="I301" s="19" t="n"/>
      <c r="J301" s="17" t="n"/>
      <c r="K301">
        <f>IF(OR(B301="",F301="7 Ganado",F301="8 Perdido"),"",IF(J301="","SIN FECHA",IF(J301&lt;Parametros!$B$2,"VENCIDO","OK")))</f>
        <v/>
      </c>
      <c r="L301" s="19" t="n"/>
      <c r="M301">
        <f>IF(AND(B301&lt;&gt;"",F301&lt;&gt;"7 Ganado",F301&lt;&gt;"8 Perdido"),1,0)</f>
        <v/>
      </c>
    </row>
  </sheetData>
  <autoFilter ref="A1:M301"/>
  <conditionalFormatting sqref="K2:K301">
    <cfRule type="cellIs" priority="1" operator="equal" dxfId="2">
      <formula>"VENCIDO"</formula>
    </cfRule>
    <cfRule type="cellIs" priority="2" operator="equal" dxfId="1">
      <formula>"SIN FECHA"</formula>
    </cfRule>
    <cfRule type="cellIs" priority="3" operator="equal" dxfId="0">
      <formula>"OK"</formula>
    </cfRule>
  </conditionalFormatting>
  <dataValidations count="5">
    <dataValidation sqref="C2:C301" showDropDown="0" showInputMessage="0" showErrorMessage="0" allowBlank="1" type="list">
      <formula1>=Parametros!$E$2:$E$7</formula1>
    </dataValidation>
    <dataValidation sqref="D2:D301" showDropDown="0" showInputMessage="0" showErrorMessage="0" allowBlank="1" type="list">
      <formula1>=Parametros!$F$2:$F$9</formula1>
    </dataValidation>
    <dataValidation sqref="F2:F301" showDropDown="0" showInputMessage="0" showErrorMessage="0" allowBlank="1" type="list">
      <formula1>=Parametros!$G$2:$G$9</formula1>
    </dataValidation>
    <dataValidation sqref="G2:G301" showDropDown="0" showInputMessage="0" showErrorMessage="0" allowBlank="1" type="list">
      <formula1>=Parametros!$D$2:$D$7</formula1>
    </dataValidation>
    <dataValidation sqref="L2:L301" showDropDown="0" showInputMessage="0" showErrorMessage="0" allowBlank="1" type="list">
      <formula1>=Parametros!$M$2:$M$7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5" customWidth="1" min="4" max="4"/>
    <col width="14" customWidth="1" min="5" max="5"/>
    <col width="12" customWidth="1" min="6" max="6"/>
    <col width="11" customWidth="1" min="7" max="7"/>
    <col width="9" customWidth="1" min="8" max="8"/>
    <col width="11" customWidth="1" min="9" max="9"/>
    <col width="11" customWidth="1" min="10" max="10"/>
    <col width="13" customWidth="1" min="11" max="11"/>
    <col width="9" customWidth="1" min="12" max="12"/>
    <col width="16" customWidth="1" min="13" max="13"/>
  </cols>
  <sheetData>
    <row r="1" ht="32" customHeight="1">
      <c r="A1" s="23" t="inlineStr">
        <is>
          <t>Cliente</t>
        </is>
      </c>
      <c r="B1" s="23" t="inlineStr">
        <is>
          <t>NIT / C.C.</t>
        </is>
      </c>
      <c r="C1" s="23" t="inlineStr">
        <is>
          <t>Segmento</t>
        </is>
      </c>
      <c r="D1" s="23" t="inlineStr">
        <is>
          <t>Plan</t>
        </is>
      </c>
      <c r="E1" s="23" t="inlineStr">
        <is>
          <t>Valor mensual</t>
        </is>
      </c>
      <c r="F1" s="23" t="inlineStr">
        <is>
          <t>Fecha inicio</t>
        </is>
      </c>
      <c r="G1" s="23" t="inlineStr">
        <is>
          <t>Estado</t>
        </is>
      </c>
      <c r="H1" s="23" t="inlineStr">
        <is>
          <t>Riesgo</t>
        </is>
      </c>
      <c r="I1" s="23" t="inlineStr">
        <is>
          <t>Satisfacción (NPS 0–10)</t>
        </is>
      </c>
      <c r="J1" s="23" t="inlineStr">
        <is>
          <t>Horas mes análisis</t>
        </is>
      </c>
      <c r="K1" s="23" t="inlineStr">
        <is>
          <t>Ingreso por hora</t>
        </is>
      </c>
      <c r="L1" s="23" t="inlineStr">
        <is>
          <t>% del MRR</t>
        </is>
      </c>
      <c r="M1" s="23" t="inlineStr">
        <is>
          <t>Alerta rentabilidad</t>
        </is>
      </c>
    </row>
    <row r="2">
      <c r="A2" s="19" t="inlineStr">
        <is>
          <t>Restaurante La Ribera</t>
        </is>
      </c>
      <c r="B2" s="19" t="inlineStr">
        <is>
          <t>900100200</t>
        </is>
      </c>
      <c r="C2" s="19" t="inlineStr">
        <is>
          <t>Pyme servicios</t>
        </is>
      </c>
      <c r="D2" s="19" t="inlineStr">
        <is>
          <t>Empresa</t>
        </is>
      </c>
      <c r="E2" s="20" t="n">
        <v>750000</v>
      </c>
      <c r="F2" s="17" t="n">
        <v>46296</v>
      </c>
      <c r="G2" s="19" t="inlineStr">
        <is>
          <t>Activo</t>
        </is>
      </c>
      <c r="H2" s="19" t="inlineStr">
        <is>
          <t>Bajo</t>
        </is>
      </c>
      <c r="I2" s="19" t="n">
        <v>9</v>
      </c>
      <c r="J2" s="25">
        <f>IF(A2="","",SUMIFS(Horas!$D$2:$D$301,Horas!$B$2:$B$301,A2,Horas!$E$2:$E$301,Parametros!$B$1))</f>
        <v/>
      </c>
      <c r="K2" s="24">
        <f>IF(OR(A2="",G2&lt;&gt;"Activo"),"",IF(N(J2)=0,"Sin horas",E2/J2))</f>
        <v/>
      </c>
      <c r="L2" s="26">
        <f>IF(OR(A2="",G2&lt;&gt;"Activo"),"",IFERROR(E2/Tablero!$B$6,0))</f>
        <v/>
      </c>
      <c r="M2">
        <f>IF(NOT(ISNUMBER(K2)),"",IF(K2&lt;Parametros!$B$18,"BAJA",IF(K2&lt;Parametros!$B$18*1.25,"AJUSTADA","SANA")))</f>
        <v/>
      </c>
    </row>
    <row r="3">
      <c r="A3" s="19" t="inlineStr">
        <is>
          <t>Comercializadora Sinú SAS</t>
        </is>
      </c>
      <c r="B3" s="19" t="inlineStr">
        <is>
          <t>900300400</t>
        </is>
      </c>
      <c r="C3" s="19" t="inlineStr">
        <is>
          <t>Pyme comercio</t>
        </is>
      </c>
      <c r="D3" s="19" t="inlineStr">
        <is>
          <t>Crecimiento</t>
        </is>
      </c>
      <c r="E3" s="20" t="n">
        <v>1100000</v>
      </c>
      <c r="F3" s="17" t="n">
        <v>46204</v>
      </c>
      <c r="G3" s="19" t="inlineStr">
        <is>
          <t>Activo</t>
        </is>
      </c>
      <c r="H3" s="19" t="inlineStr">
        <is>
          <t>Bajo</t>
        </is>
      </c>
      <c r="I3" s="19" t="n">
        <v>10</v>
      </c>
      <c r="J3" s="25">
        <f>IF(A3="","",SUMIFS(Horas!$D$2:$D$301,Horas!$B$2:$B$301,A3,Horas!$E$2:$E$301,Parametros!$B$1))</f>
        <v/>
      </c>
      <c r="K3" s="24">
        <f>IF(OR(A3="",G3&lt;&gt;"Activo"),"",IF(N(J3)=0,"Sin horas",E3/J3))</f>
        <v/>
      </c>
      <c r="L3" s="26">
        <f>IF(OR(A3="",G3&lt;&gt;"Activo"),"",IFERROR(E3/Tablero!$B$6,0))</f>
        <v/>
      </c>
      <c r="M3">
        <f>IF(NOT(ISNUMBER(K3)),"",IF(K3&lt;Parametros!$B$18,"BAJA",IF(K3&lt;Parametros!$B$18*1.25,"AJUSTADA","SANA")))</f>
        <v/>
      </c>
    </row>
    <row r="4">
      <c r="A4" s="19" t="inlineStr">
        <is>
          <t>Juan Pérez (independiente)</t>
        </is>
      </c>
      <c r="B4" s="19" t="inlineStr">
        <is>
          <t>1067000000</t>
        </is>
      </c>
      <c r="C4" s="19" t="inlineStr">
        <is>
          <t>Persona natural</t>
        </is>
      </c>
      <c r="D4" s="19" t="inlineStr">
        <is>
          <t>Básico</t>
        </is>
      </c>
      <c r="E4" s="20" t="n">
        <v>450000</v>
      </c>
      <c r="F4" s="17" t="n">
        <v>46235</v>
      </c>
      <c r="G4" s="19" t="inlineStr">
        <is>
          <t>Activo</t>
        </is>
      </c>
      <c r="H4" s="19" t="inlineStr">
        <is>
          <t>Medio</t>
        </is>
      </c>
      <c r="I4" s="19" t="n">
        <v>7</v>
      </c>
      <c r="J4" s="25">
        <f>IF(A4="","",SUMIFS(Horas!$D$2:$D$301,Horas!$B$2:$B$301,A4,Horas!$E$2:$E$301,Parametros!$B$1))</f>
        <v/>
      </c>
      <c r="K4" s="24">
        <f>IF(OR(A4="",G4&lt;&gt;"Activo"),"",IF(N(J4)=0,"Sin horas",E4/J4))</f>
        <v/>
      </c>
      <c r="L4" s="26">
        <f>IF(OR(A4="",G4&lt;&gt;"Activo"),"",IFERROR(E4/Tablero!$B$6,0))</f>
        <v/>
      </c>
      <c r="M4">
        <f>IF(NOT(ISNUMBER(K4)),"",IF(K4&lt;Parametros!$B$18,"BAJA",IF(K4&lt;Parametros!$B$18*1.25,"AJUSTADA","SANA")))</f>
        <v/>
      </c>
    </row>
    <row r="5">
      <c r="A5" s="19" t="inlineStr">
        <is>
          <t>Taller Mecánico Rápido</t>
        </is>
      </c>
      <c r="B5" s="19" t="inlineStr">
        <is>
          <t>901500600</t>
        </is>
      </c>
      <c r="C5" s="19" t="inlineStr">
        <is>
          <t>Pyme servicios</t>
        </is>
      </c>
      <c r="D5" s="19" t="inlineStr">
        <is>
          <t>Empresa</t>
        </is>
      </c>
      <c r="E5" s="20" t="n">
        <v>750000</v>
      </c>
      <c r="F5" s="17" t="n">
        <v>46143</v>
      </c>
      <c r="G5" s="19" t="inlineStr">
        <is>
          <t>Activo</t>
        </is>
      </c>
      <c r="H5" s="19" t="inlineStr">
        <is>
          <t>Alto</t>
        </is>
      </c>
      <c r="I5" s="19" t="n">
        <v>5</v>
      </c>
      <c r="J5" s="25">
        <f>IF(A5="","",SUMIFS(Horas!$D$2:$D$301,Horas!$B$2:$B$301,A5,Horas!$E$2:$E$301,Parametros!$B$1))</f>
        <v/>
      </c>
      <c r="K5" s="24">
        <f>IF(OR(A5="",G5&lt;&gt;"Activo"),"",IF(N(J5)=0,"Sin horas",E5/J5))</f>
        <v/>
      </c>
      <c r="L5" s="26">
        <f>IF(OR(A5="",G5&lt;&gt;"Activo"),"",IFERROR(E5/Tablero!$B$6,0))</f>
        <v/>
      </c>
      <c r="M5">
        <f>IF(NOT(ISNUMBER(K5)),"",IF(K5&lt;Parametros!$B$18,"BAJA",IF(K5&lt;Parametros!$B$18*1.25,"AJUSTADA","SANA")))</f>
        <v/>
      </c>
    </row>
    <row r="6">
      <c r="A6" s="19" t="inlineStr">
        <is>
          <t>Panadería Doña Ana</t>
        </is>
      </c>
      <c r="B6" s="19" t="inlineStr">
        <is>
          <t>901700800</t>
        </is>
      </c>
      <c r="C6" s="19" t="inlineStr">
        <is>
          <t>Pyme comercio</t>
        </is>
      </c>
      <c r="D6" s="19" t="inlineStr">
        <is>
          <t>Básico</t>
        </is>
      </c>
      <c r="E6" s="20" t="n">
        <v>450000</v>
      </c>
      <c r="F6" s="17" t="n">
        <v>46082</v>
      </c>
      <c r="G6" s="19" t="inlineStr">
        <is>
          <t>Retirado</t>
        </is>
      </c>
      <c r="H6" s="19" t="inlineStr">
        <is>
          <t>Bajo</t>
        </is>
      </c>
      <c r="I6" s="19" t="n">
        <v>6</v>
      </c>
      <c r="J6" s="25">
        <f>IF(A6="","",SUMIFS(Horas!$D$2:$D$301,Horas!$B$2:$B$301,A6,Horas!$E$2:$E$301,Parametros!$B$1))</f>
        <v/>
      </c>
      <c r="K6" s="24">
        <f>IF(OR(A6="",G6&lt;&gt;"Activo"),"",IF(N(J6)=0,"Sin horas",E6/J6))</f>
        <v/>
      </c>
      <c r="L6" s="26">
        <f>IF(OR(A6="",G6&lt;&gt;"Activo"),"",IFERROR(E6/Tablero!$B$6,0))</f>
        <v/>
      </c>
      <c r="M6">
        <f>IF(NOT(ISNUMBER(K6)),"",IF(K6&lt;Parametros!$B$18,"BAJA",IF(K6&lt;Parametros!$B$18*1.25,"AJUSTADA","SANA")))</f>
        <v/>
      </c>
    </row>
    <row r="7">
      <c r="A7" s="19" t="n"/>
      <c r="B7" s="19" t="n"/>
      <c r="C7" s="19" t="n"/>
      <c r="D7" s="19" t="n"/>
      <c r="E7" s="20" t="n"/>
      <c r="F7" s="17" t="n"/>
      <c r="G7" s="19" t="n"/>
      <c r="H7" s="19" t="n"/>
      <c r="I7" s="19" t="n"/>
      <c r="J7" s="25">
        <f>IF(A7="","",SUMIFS(Horas!$D$2:$D$301,Horas!$B$2:$B$301,A7,Horas!$E$2:$E$301,Parametros!$B$1))</f>
        <v/>
      </c>
      <c r="K7" s="24">
        <f>IF(OR(A7="",G7&lt;&gt;"Activo"),"",IF(N(J7)=0,"Sin horas",E7/J7))</f>
        <v/>
      </c>
      <c r="L7" s="26">
        <f>IF(OR(A7="",G7&lt;&gt;"Activo"),"",IFERROR(E7/Tablero!$B$6,0))</f>
        <v/>
      </c>
      <c r="M7">
        <f>IF(NOT(ISNUMBER(K7)),"",IF(K7&lt;Parametros!$B$18,"BAJA",IF(K7&lt;Parametros!$B$18*1.25,"AJUSTADA","SANA")))</f>
        <v/>
      </c>
    </row>
    <row r="8">
      <c r="A8" s="19" t="n"/>
      <c r="B8" s="19" t="n"/>
      <c r="C8" s="19" t="n"/>
      <c r="D8" s="19" t="n"/>
      <c r="E8" s="20" t="n"/>
      <c r="F8" s="17" t="n"/>
      <c r="G8" s="19" t="n"/>
      <c r="H8" s="19" t="n"/>
      <c r="I8" s="19" t="n"/>
      <c r="J8" s="25">
        <f>IF(A8="","",SUMIFS(Horas!$D$2:$D$301,Horas!$B$2:$B$301,A8,Horas!$E$2:$E$301,Parametros!$B$1))</f>
        <v/>
      </c>
      <c r="K8" s="24">
        <f>IF(OR(A8="",G8&lt;&gt;"Activo"),"",IF(N(J8)=0,"Sin horas",E8/J8))</f>
        <v/>
      </c>
      <c r="L8" s="26">
        <f>IF(OR(A8="",G8&lt;&gt;"Activo"),"",IFERROR(E8/Tablero!$B$6,0))</f>
        <v/>
      </c>
      <c r="M8">
        <f>IF(NOT(ISNUMBER(K8)),"",IF(K8&lt;Parametros!$B$18,"BAJA",IF(K8&lt;Parametros!$B$18*1.25,"AJUSTADA","SANA")))</f>
        <v/>
      </c>
    </row>
    <row r="9">
      <c r="A9" s="19" t="n"/>
      <c r="B9" s="19" t="n"/>
      <c r="C9" s="19" t="n"/>
      <c r="D9" s="19" t="n"/>
      <c r="E9" s="20" t="n"/>
      <c r="F9" s="17" t="n"/>
      <c r="G9" s="19" t="n"/>
      <c r="H9" s="19" t="n"/>
      <c r="I9" s="19" t="n"/>
      <c r="J9" s="25">
        <f>IF(A9="","",SUMIFS(Horas!$D$2:$D$301,Horas!$B$2:$B$301,A9,Horas!$E$2:$E$301,Parametros!$B$1))</f>
        <v/>
      </c>
      <c r="K9" s="24">
        <f>IF(OR(A9="",G9&lt;&gt;"Activo"),"",IF(N(J9)=0,"Sin horas",E9/J9))</f>
        <v/>
      </c>
      <c r="L9" s="26">
        <f>IF(OR(A9="",G9&lt;&gt;"Activo"),"",IFERROR(E9/Tablero!$B$6,0))</f>
        <v/>
      </c>
      <c r="M9">
        <f>IF(NOT(ISNUMBER(K9)),"",IF(K9&lt;Parametros!$B$18,"BAJA",IF(K9&lt;Parametros!$B$18*1.25,"AJUSTADA","SANA")))</f>
        <v/>
      </c>
    </row>
    <row r="10">
      <c r="A10" s="19" t="n"/>
      <c r="B10" s="19" t="n"/>
      <c r="C10" s="19" t="n"/>
      <c r="D10" s="19" t="n"/>
      <c r="E10" s="20" t="n"/>
      <c r="F10" s="17" t="n"/>
      <c r="G10" s="19" t="n"/>
      <c r="H10" s="19" t="n"/>
      <c r="I10" s="19" t="n"/>
      <c r="J10" s="25">
        <f>IF(A10="","",SUMIFS(Horas!$D$2:$D$301,Horas!$B$2:$B$301,A10,Horas!$E$2:$E$301,Parametros!$B$1))</f>
        <v/>
      </c>
      <c r="K10" s="24">
        <f>IF(OR(A10="",G10&lt;&gt;"Activo"),"",IF(N(J10)=0,"Sin horas",E10/J10))</f>
        <v/>
      </c>
      <c r="L10" s="26">
        <f>IF(OR(A10="",G10&lt;&gt;"Activo"),"",IFERROR(E10/Tablero!$B$6,0))</f>
        <v/>
      </c>
      <c r="M10">
        <f>IF(NOT(ISNUMBER(K10)),"",IF(K10&lt;Parametros!$B$18,"BAJA",IF(K10&lt;Parametros!$B$18*1.25,"AJUSTADA","SANA")))</f>
        <v/>
      </c>
    </row>
    <row r="11">
      <c r="A11" s="19" t="n"/>
      <c r="B11" s="19" t="n"/>
      <c r="C11" s="19" t="n"/>
      <c r="D11" s="19" t="n"/>
      <c r="E11" s="20" t="n"/>
      <c r="F11" s="17" t="n"/>
      <c r="G11" s="19" t="n"/>
      <c r="H11" s="19" t="n"/>
      <c r="I11" s="19" t="n"/>
      <c r="J11" s="25">
        <f>IF(A11="","",SUMIFS(Horas!$D$2:$D$301,Horas!$B$2:$B$301,A11,Horas!$E$2:$E$301,Parametros!$B$1))</f>
        <v/>
      </c>
      <c r="K11" s="24">
        <f>IF(OR(A11="",G11&lt;&gt;"Activo"),"",IF(N(J11)=0,"Sin horas",E11/J11))</f>
        <v/>
      </c>
      <c r="L11" s="26">
        <f>IF(OR(A11="",G11&lt;&gt;"Activo"),"",IFERROR(E11/Tablero!$B$6,0))</f>
        <v/>
      </c>
      <c r="M11">
        <f>IF(NOT(ISNUMBER(K11)),"",IF(K11&lt;Parametros!$B$18,"BAJA",IF(K11&lt;Parametros!$B$18*1.25,"AJUSTADA","SANA")))</f>
        <v/>
      </c>
    </row>
    <row r="12">
      <c r="A12" s="19" t="n"/>
      <c r="B12" s="19" t="n"/>
      <c r="C12" s="19" t="n"/>
      <c r="D12" s="19" t="n"/>
      <c r="E12" s="20" t="n"/>
      <c r="F12" s="17" t="n"/>
      <c r="G12" s="19" t="n"/>
      <c r="H12" s="19" t="n"/>
      <c r="I12" s="19" t="n"/>
      <c r="J12" s="25">
        <f>IF(A12="","",SUMIFS(Horas!$D$2:$D$301,Horas!$B$2:$B$301,A12,Horas!$E$2:$E$301,Parametros!$B$1))</f>
        <v/>
      </c>
      <c r="K12" s="24">
        <f>IF(OR(A12="",G12&lt;&gt;"Activo"),"",IF(N(J12)=0,"Sin horas",E12/J12))</f>
        <v/>
      </c>
      <c r="L12" s="26">
        <f>IF(OR(A12="",G12&lt;&gt;"Activo"),"",IFERROR(E12/Tablero!$B$6,0))</f>
        <v/>
      </c>
      <c r="M12">
        <f>IF(NOT(ISNUMBER(K12)),"",IF(K12&lt;Parametros!$B$18,"BAJA",IF(K12&lt;Parametros!$B$18*1.25,"AJUSTADA","SANA")))</f>
        <v/>
      </c>
    </row>
    <row r="13">
      <c r="A13" s="19" t="n"/>
      <c r="B13" s="19" t="n"/>
      <c r="C13" s="19" t="n"/>
      <c r="D13" s="19" t="n"/>
      <c r="E13" s="20" t="n"/>
      <c r="F13" s="17" t="n"/>
      <c r="G13" s="19" t="n"/>
      <c r="H13" s="19" t="n"/>
      <c r="I13" s="19" t="n"/>
      <c r="J13" s="25">
        <f>IF(A13="","",SUMIFS(Horas!$D$2:$D$301,Horas!$B$2:$B$301,A13,Horas!$E$2:$E$301,Parametros!$B$1))</f>
        <v/>
      </c>
      <c r="K13" s="24">
        <f>IF(OR(A13="",G13&lt;&gt;"Activo"),"",IF(N(J13)=0,"Sin horas",E13/J13))</f>
        <v/>
      </c>
      <c r="L13" s="26">
        <f>IF(OR(A13="",G13&lt;&gt;"Activo"),"",IFERROR(E13/Tablero!$B$6,0))</f>
        <v/>
      </c>
      <c r="M13">
        <f>IF(NOT(ISNUMBER(K13)),"",IF(K13&lt;Parametros!$B$18,"BAJA",IF(K13&lt;Parametros!$B$18*1.25,"AJUSTADA","SANA")))</f>
        <v/>
      </c>
    </row>
    <row r="14">
      <c r="A14" s="19" t="n"/>
      <c r="B14" s="19" t="n"/>
      <c r="C14" s="19" t="n"/>
      <c r="D14" s="19" t="n"/>
      <c r="E14" s="20" t="n"/>
      <c r="F14" s="17" t="n"/>
      <c r="G14" s="19" t="n"/>
      <c r="H14" s="19" t="n"/>
      <c r="I14" s="19" t="n"/>
      <c r="J14" s="25">
        <f>IF(A14="","",SUMIFS(Horas!$D$2:$D$301,Horas!$B$2:$B$301,A14,Horas!$E$2:$E$301,Parametros!$B$1))</f>
        <v/>
      </c>
      <c r="K14" s="24">
        <f>IF(OR(A14="",G14&lt;&gt;"Activo"),"",IF(N(J14)=0,"Sin horas",E14/J14))</f>
        <v/>
      </c>
      <c r="L14" s="26">
        <f>IF(OR(A14="",G14&lt;&gt;"Activo"),"",IFERROR(E14/Tablero!$B$6,0))</f>
        <v/>
      </c>
      <c r="M14">
        <f>IF(NOT(ISNUMBER(K14)),"",IF(K14&lt;Parametros!$B$18,"BAJA",IF(K14&lt;Parametros!$B$18*1.25,"AJUSTADA","SANA")))</f>
        <v/>
      </c>
    </row>
    <row r="15">
      <c r="A15" s="19" t="n"/>
      <c r="B15" s="19" t="n"/>
      <c r="C15" s="19" t="n"/>
      <c r="D15" s="19" t="n"/>
      <c r="E15" s="20" t="n"/>
      <c r="F15" s="17" t="n"/>
      <c r="G15" s="19" t="n"/>
      <c r="H15" s="19" t="n"/>
      <c r="I15" s="19" t="n"/>
      <c r="J15" s="25">
        <f>IF(A15="","",SUMIFS(Horas!$D$2:$D$301,Horas!$B$2:$B$301,A15,Horas!$E$2:$E$301,Parametros!$B$1))</f>
        <v/>
      </c>
      <c r="K15" s="24">
        <f>IF(OR(A15="",G15&lt;&gt;"Activo"),"",IF(N(J15)=0,"Sin horas",E15/J15))</f>
        <v/>
      </c>
      <c r="L15" s="26">
        <f>IF(OR(A15="",G15&lt;&gt;"Activo"),"",IFERROR(E15/Tablero!$B$6,0))</f>
        <v/>
      </c>
      <c r="M15">
        <f>IF(NOT(ISNUMBER(K15)),"",IF(K15&lt;Parametros!$B$18,"BAJA",IF(K15&lt;Parametros!$B$18*1.25,"AJUSTADA","SANA")))</f>
        <v/>
      </c>
    </row>
    <row r="16">
      <c r="A16" s="19" t="n"/>
      <c r="B16" s="19" t="n"/>
      <c r="C16" s="19" t="n"/>
      <c r="D16" s="19" t="n"/>
      <c r="E16" s="20" t="n"/>
      <c r="F16" s="17" t="n"/>
      <c r="G16" s="19" t="n"/>
      <c r="H16" s="19" t="n"/>
      <c r="I16" s="19" t="n"/>
      <c r="J16" s="25">
        <f>IF(A16="","",SUMIFS(Horas!$D$2:$D$301,Horas!$B$2:$B$301,A16,Horas!$E$2:$E$301,Parametros!$B$1))</f>
        <v/>
      </c>
      <c r="K16" s="24">
        <f>IF(OR(A16="",G16&lt;&gt;"Activo"),"",IF(N(J16)=0,"Sin horas",E16/J16))</f>
        <v/>
      </c>
      <c r="L16" s="26">
        <f>IF(OR(A16="",G16&lt;&gt;"Activo"),"",IFERROR(E16/Tablero!$B$6,0))</f>
        <v/>
      </c>
      <c r="M16">
        <f>IF(NOT(ISNUMBER(K16)),"",IF(K16&lt;Parametros!$B$18,"BAJA",IF(K16&lt;Parametros!$B$18*1.25,"AJUSTADA","SANA")))</f>
        <v/>
      </c>
    </row>
    <row r="17">
      <c r="A17" s="19" t="n"/>
      <c r="B17" s="19" t="n"/>
      <c r="C17" s="19" t="n"/>
      <c r="D17" s="19" t="n"/>
      <c r="E17" s="20" t="n"/>
      <c r="F17" s="17" t="n"/>
      <c r="G17" s="19" t="n"/>
      <c r="H17" s="19" t="n"/>
      <c r="I17" s="19" t="n"/>
      <c r="J17" s="25">
        <f>IF(A17="","",SUMIFS(Horas!$D$2:$D$301,Horas!$B$2:$B$301,A17,Horas!$E$2:$E$301,Parametros!$B$1))</f>
        <v/>
      </c>
      <c r="K17" s="24">
        <f>IF(OR(A17="",G17&lt;&gt;"Activo"),"",IF(N(J17)=0,"Sin horas",E17/J17))</f>
        <v/>
      </c>
      <c r="L17" s="26">
        <f>IF(OR(A17="",G17&lt;&gt;"Activo"),"",IFERROR(E17/Tablero!$B$6,0))</f>
        <v/>
      </c>
      <c r="M17">
        <f>IF(NOT(ISNUMBER(K17)),"",IF(K17&lt;Parametros!$B$18,"BAJA",IF(K17&lt;Parametros!$B$18*1.25,"AJUSTADA","SANA")))</f>
        <v/>
      </c>
    </row>
    <row r="18">
      <c r="A18" s="19" t="n"/>
      <c r="B18" s="19" t="n"/>
      <c r="C18" s="19" t="n"/>
      <c r="D18" s="19" t="n"/>
      <c r="E18" s="20" t="n"/>
      <c r="F18" s="17" t="n"/>
      <c r="G18" s="19" t="n"/>
      <c r="H18" s="19" t="n"/>
      <c r="I18" s="19" t="n"/>
      <c r="J18" s="25">
        <f>IF(A18="","",SUMIFS(Horas!$D$2:$D$301,Horas!$B$2:$B$301,A18,Horas!$E$2:$E$301,Parametros!$B$1))</f>
        <v/>
      </c>
      <c r="K18" s="24">
        <f>IF(OR(A18="",G18&lt;&gt;"Activo"),"",IF(N(J18)=0,"Sin horas",E18/J18))</f>
        <v/>
      </c>
      <c r="L18" s="26">
        <f>IF(OR(A18="",G18&lt;&gt;"Activo"),"",IFERROR(E18/Tablero!$B$6,0))</f>
        <v/>
      </c>
      <c r="M18">
        <f>IF(NOT(ISNUMBER(K18)),"",IF(K18&lt;Parametros!$B$18,"BAJA",IF(K18&lt;Parametros!$B$18*1.25,"AJUSTADA","SANA")))</f>
        <v/>
      </c>
    </row>
    <row r="19">
      <c r="A19" s="19" t="n"/>
      <c r="B19" s="19" t="n"/>
      <c r="C19" s="19" t="n"/>
      <c r="D19" s="19" t="n"/>
      <c r="E19" s="20" t="n"/>
      <c r="F19" s="17" t="n"/>
      <c r="G19" s="19" t="n"/>
      <c r="H19" s="19" t="n"/>
      <c r="I19" s="19" t="n"/>
      <c r="J19" s="25">
        <f>IF(A19="","",SUMIFS(Horas!$D$2:$D$301,Horas!$B$2:$B$301,A19,Horas!$E$2:$E$301,Parametros!$B$1))</f>
        <v/>
      </c>
      <c r="K19" s="24">
        <f>IF(OR(A19="",G19&lt;&gt;"Activo"),"",IF(N(J19)=0,"Sin horas",E19/J19))</f>
        <v/>
      </c>
      <c r="L19" s="26">
        <f>IF(OR(A19="",G19&lt;&gt;"Activo"),"",IFERROR(E19/Tablero!$B$6,0))</f>
        <v/>
      </c>
      <c r="M19">
        <f>IF(NOT(ISNUMBER(K19)),"",IF(K19&lt;Parametros!$B$18,"BAJA",IF(K19&lt;Parametros!$B$18*1.25,"AJUSTADA","SANA")))</f>
        <v/>
      </c>
    </row>
    <row r="20">
      <c r="A20" s="19" t="n"/>
      <c r="B20" s="19" t="n"/>
      <c r="C20" s="19" t="n"/>
      <c r="D20" s="19" t="n"/>
      <c r="E20" s="20" t="n"/>
      <c r="F20" s="17" t="n"/>
      <c r="G20" s="19" t="n"/>
      <c r="H20" s="19" t="n"/>
      <c r="I20" s="19" t="n"/>
      <c r="J20" s="25">
        <f>IF(A20="","",SUMIFS(Horas!$D$2:$D$301,Horas!$B$2:$B$301,A20,Horas!$E$2:$E$301,Parametros!$B$1))</f>
        <v/>
      </c>
      <c r="K20" s="24">
        <f>IF(OR(A20="",G20&lt;&gt;"Activo"),"",IF(N(J20)=0,"Sin horas",E20/J20))</f>
        <v/>
      </c>
      <c r="L20" s="26">
        <f>IF(OR(A20="",G20&lt;&gt;"Activo"),"",IFERROR(E20/Tablero!$B$6,0))</f>
        <v/>
      </c>
      <c r="M20">
        <f>IF(NOT(ISNUMBER(K20)),"",IF(K20&lt;Parametros!$B$18,"BAJA",IF(K20&lt;Parametros!$B$18*1.25,"AJUSTADA","SANA")))</f>
        <v/>
      </c>
    </row>
    <row r="21">
      <c r="A21" s="19" t="n"/>
      <c r="B21" s="19" t="n"/>
      <c r="C21" s="19" t="n"/>
      <c r="D21" s="19" t="n"/>
      <c r="E21" s="20" t="n"/>
      <c r="F21" s="17" t="n"/>
      <c r="G21" s="19" t="n"/>
      <c r="H21" s="19" t="n"/>
      <c r="I21" s="19" t="n"/>
      <c r="J21" s="25">
        <f>IF(A21="","",SUMIFS(Horas!$D$2:$D$301,Horas!$B$2:$B$301,A21,Horas!$E$2:$E$301,Parametros!$B$1))</f>
        <v/>
      </c>
      <c r="K21" s="24">
        <f>IF(OR(A21="",G21&lt;&gt;"Activo"),"",IF(N(J21)=0,"Sin horas",E21/J21))</f>
        <v/>
      </c>
      <c r="L21" s="26">
        <f>IF(OR(A21="",G21&lt;&gt;"Activo"),"",IFERROR(E21/Tablero!$B$6,0))</f>
        <v/>
      </c>
      <c r="M21">
        <f>IF(NOT(ISNUMBER(K21)),"",IF(K21&lt;Parametros!$B$18,"BAJA",IF(K21&lt;Parametros!$B$18*1.25,"AJUSTADA","SANA")))</f>
        <v/>
      </c>
    </row>
    <row r="22">
      <c r="A22" s="19" t="n"/>
      <c r="B22" s="19" t="n"/>
      <c r="C22" s="19" t="n"/>
      <c r="D22" s="19" t="n"/>
      <c r="E22" s="20" t="n"/>
      <c r="F22" s="17" t="n"/>
      <c r="G22" s="19" t="n"/>
      <c r="H22" s="19" t="n"/>
      <c r="I22" s="19" t="n"/>
      <c r="J22" s="25">
        <f>IF(A22="","",SUMIFS(Horas!$D$2:$D$301,Horas!$B$2:$B$301,A22,Horas!$E$2:$E$301,Parametros!$B$1))</f>
        <v/>
      </c>
      <c r="K22" s="24">
        <f>IF(OR(A22="",G22&lt;&gt;"Activo"),"",IF(N(J22)=0,"Sin horas",E22/J22))</f>
        <v/>
      </c>
      <c r="L22" s="26">
        <f>IF(OR(A22="",G22&lt;&gt;"Activo"),"",IFERROR(E22/Tablero!$B$6,0))</f>
        <v/>
      </c>
      <c r="M22">
        <f>IF(NOT(ISNUMBER(K22)),"",IF(K22&lt;Parametros!$B$18,"BAJA",IF(K22&lt;Parametros!$B$18*1.25,"AJUSTADA","SANA")))</f>
        <v/>
      </c>
    </row>
    <row r="23">
      <c r="A23" s="19" t="n"/>
      <c r="B23" s="19" t="n"/>
      <c r="C23" s="19" t="n"/>
      <c r="D23" s="19" t="n"/>
      <c r="E23" s="20" t="n"/>
      <c r="F23" s="17" t="n"/>
      <c r="G23" s="19" t="n"/>
      <c r="H23" s="19" t="n"/>
      <c r="I23" s="19" t="n"/>
      <c r="J23" s="25">
        <f>IF(A23="","",SUMIFS(Horas!$D$2:$D$301,Horas!$B$2:$B$301,A23,Horas!$E$2:$E$301,Parametros!$B$1))</f>
        <v/>
      </c>
      <c r="K23" s="24">
        <f>IF(OR(A23="",G23&lt;&gt;"Activo"),"",IF(N(J23)=0,"Sin horas",E23/J23))</f>
        <v/>
      </c>
      <c r="L23" s="26">
        <f>IF(OR(A23="",G23&lt;&gt;"Activo"),"",IFERROR(E23/Tablero!$B$6,0))</f>
        <v/>
      </c>
      <c r="M23">
        <f>IF(NOT(ISNUMBER(K23)),"",IF(K23&lt;Parametros!$B$18,"BAJA",IF(K23&lt;Parametros!$B$18*1.25,"AJUSTADA","SANA")))</f>
        <v/>
      </c>
    </row>
    <row r="24">
      <c r="A24" s="19" t="n"/>
      <c r="B24" s="19" t="n"/>
      <c r="C24" s="19" t="n"/>
      <c r="D24" s="19" t="n"/>
      <c r="E24" s="20" t="n"/>
      <c r="F24" s="17" t="n"/>
      <c r="G24" s="19" t="n"/>
      <c r="H24" s="19" t="n"/>
      <c r="I24" s="19" t="n"/>
      <c r="J24" s="25">
        <f>IF(A24="","",SUMIFS(Horas!$D$2:$D$301,Horas!$B$2:$B$301,A24,Horas!$E$2:$E$301,Parametros!$B$1))</f>
        <v/>
      </c>
      <c r="K24" s="24">
        <f>IF(OR(A24="",G24&lt;&gt;"Activo"),"",IF(N(J24)=0,"Sin horas",E24/J24))</f>
        <v/>
      </c>
      <c r="L24" s="26">
        <f>IF(OR(A24="",G24&lt;&gt;"Activo"),"",IFERROR(E24/Tablero!$B$6,0))</f>
        <v/>
      </c>
      <c r="M24">
        <f>IF(NOT(ISNUMBER(K24)),"",IF(K24&lt;Parametros!$B$18,"BAJA",IF(K24&lt;Parametros!$B$18*1.25,"AJUSTADA","SANA")))</f>
        <v/>
      </c>
    </row>
    <row r="25">
      <c r="A25" s="19" t="n"/>
      <c r="B25" s="19" t="n"/>
      <c r="C25" s="19" t="n"/>
      <c r="D25" s="19" t="n"/>
      <c r="E25" s="20" t="n"/>
      <c r="F25" s="17" t="n"/>
      <c r="G25" s="19" t="n"/>
      <c r="H25" s="19" t="n"/>
      <c r="I25" s="19" t="n"/>
      <c r="J25" s="25">
        <f>IF(A25="","",SUMIFS(Horas!$D$2:$D$301,Horas!$B$2:$B$301,A25,Horas!$E$2:$E$301,Parametros!$B$1))</f>
        <v/>
      </c>
      <c r="K25" s="24">
        <f>IF(OR(A25="",G25&lt;&gt;"Activo"),"",IF(N(J25)=0,"Sin horas",E25/J25))</f>
        <v/>
      </c>
      <c r="L25" s="26">
        <f>IF(OR(A25="",G25&lt;&gt;"Activo"),"",IFERROR(E25/Tablero!$B$6,0))</f>
        <v/>
      </c>
      <c r="M25">
        <f>IF(NOT(ISNUMBER(K25)),"",IF(K25&lt;Parametros!$B$18,"BAJA",IF(K25&lt;Parametros!$B$18*1.25,"AJUSTADA","SANA")))</f>
        <v/>
      </c>
    </row>
    <row r="26">
      <c r="A26" s="19" t="n"/>
      <c r="B26" s="19" t="n"/>
      <c r="C26" s="19" t="n"/>
      <c r="D26" s="19" t="n"/>
      <c r="E26" s="20" t="n"/>
      <c r="F26" s="17" t="n"/>
      <c r="G26" s="19" t="n"/>
      <c r="H26" s="19" t="n"/>
      <c r="I26" s="19" t="n"/>
      <c r="J26" s="25">
        <f>IF(A26="","",SUMIFS(Horas!$D$2:$D$301,Horas!$B$2:$B$301,A26,Horas!$E$2:$E$301,Parametros!$B$1))</f>
        <v/>
      </c>
      <c r="K26" s="24">
        <f>IF(OR(A26="",G26&lt;&gt;"Activo"),"",IF(N(J26)=0,"Sin horas",E26/J26))</f>
        <v/>
      </c>
      <c r="L26" s="26">
        <f>IF(OR(A26="",G26&lt;&gt;"Activo"),"",IFERROR(E26/Tablero!$B$6,0))</f>
        <v/>
      </c>
      <c r="M26">
        <f>IF(NOT(ISNUMBER(K26)),"",IF(K26&lt;Parametros!$B$18,"BAJA",IF(K26&lt;Parametros!$B$18*1.25,"AJUSTADA","SANA")))</f>
        <v/>
      </c>
    </row>
    <row r="27">
      <c r="A27" s="19" t="n"/>
      <c r="B27" s="19" t="n"/>
      <c r="C27" s="19" t="n"/>
      <c r="D27" s="19" t="n"/>
      <c r="E27" s="20" t="n"/>
      <c r="F27" s="17" t="n"/>
      <c r="G27" s="19" t="n"/>
      <c r="H27" s="19" t="n"/>
      <c r="I27" s="19" t="n"/>
      <c r="J27" s="25">
        <f>IF(A27="","",SUMIFS(Horas!$D$2:$D$301,Horas!$B$2:$B$301,A27,Horas!$E$2:$E$301,Parametros!$B$1))</f>
        <v/>
      </c>
      <c r="K27" s="24">
        <f>IF(OR(A27="",G27&lt;&gt;"Activo"),"",IF(N(J27)=0,"Sin horas",E27/J27))</f>
        <v/>
      </c>
      <c r="L27" s="26">
        <f>IF(OR(A27="",G27&lt;&gt;"Activo"),"",IFERROR(E27/Tablero!$B$6,0))</f>
        <v/>
      </c>
      <c r="M27">
        <f>IF(NOT(ISNUMBER(K27)),"",IF(K27&lt;Parametros!$B$18,"BAJA",IF(K27&lt;Parametros!$B$18*1.25,"AJUSTADA","SANA")))</f>
        <v/>
      </c>
    </row>
    <row r="28">
      <c r="A28" s="19" t="n"/>
      <c r="B28" s="19" t="n"/>
      <c r="C28" s="19" t="n"/>
      <c r="D28" s="19" t="n"/>
      <c r="E28" s="20" t="n"/>
      <c r="F28" s="17" t="n"/>
      <c r="G28" s="19" t="n"/>
      <c r="H28" s="19" t="n"/>
      <c r="I28" s="19" t="n"/>
      <c r="J28" s="25">
        <f>IF(A28="","",SUMIFS(Horas!$D$2:$D$301,Horas!$B$2:$B$301,A28,Horas!$E$2:$E$301,Parametros!$B$1))</f>
        <v/>
      </c>
      <c r="K28" s="24">
        <f>IF(OR(A28="",G28&lt;&gt;"Activo"),"",IF(N(J28)=0,"Sin horas",E28/J28))</f>
        <v/>
      </c>
      <c r="L28" s="26">
        <f>IF(OR(A28="",G28&lt;&gt;"Activo"),"",IFERROR(E28/Tablero!$B$6,0))</f>
        <v/>
      </c>
      <c r="M28">
        <f>IF(NOT(ISNUMBER(K28)),"",IF(K28&lt;Parametros!$B$18,"BAJA",IF(K28&lt;Parametros!$B$18*1.25,"AJUSTADA","SANA")))</f>
        <v/>
      </c>
    </row>
    <row r="29">
      <c r="A29" s="19" t="n"/>
      <c r="B29" s="19" t="n"/>
      <c r="C29" s="19" t="n"/>
      <c r="D29" s="19" t="n"/>
      <c r="E29" s="20" t="n"/>
      <c r="F29" s="17" t="n"/>
      <c r="G29" s="19" t="n"/>
      <c r="H29" s="19" t="n"/>
      <c r="I29" s="19" t="n"/>
      <c r="J29" s="25">
        <f>IF(A29="","",SUMIFS(Horas!$D$2:$D$301,Horas!$B$2:$B$301,A29,Horas!$E$2:$E$301,Parametros!$B$1))</f>
        <v/>
      </c>
      <c r="K29" s="24">
        <f>IF(OR(A29="",G29&lt;&gt;"Activo"),"",IF(N(J29)=0,"Sin horas",E29/J29))</f>
        <v/>
      </c>
      <c r="L29" s="26">
        <f>IF(OR(A29="",G29&lt;&gt;"Activo"),"",IFERROR(E29/Tablero!$B$6,0))</f>
        <v/>
      </c>
      <c r="M29">
        <f>IF(NOT(ISNUMBER(K29)),"",IF(K29&lt;Parametros!$B$18,"BAJA",IF(K29&lt;Parametros!$B$18*1.25,"AJUSTADA","SANA")))</f>
        <v/>
      </c>
    </row>
    <row r="30">
      <c r="A30" s="19" t="n"/>
      <c r="B30" s="19" t="n"/>
      <c r="C30" s="19" t="n"/>
      <c r="D30" s="19" t="n"/>
      <c r="E30" s="20" t="n"/>
      <c r="F30" s="17" t="n"/>
      <c r="G30" s="19" t="n"/>
      <c r="H30" s="19" t="n"/>
      <c r="I30" s="19" t="n"/>
      <c r="J30" s="25">
        <f>IF(A30="","",SUMIFS(Horas!$D$2:$D$301,Horas!$B$2:$B$301,A30,Horas!$E$2:$E$301,Parametros!$B$1))</f>
        <v/>
      </c>
      <c r="K30" s="24">
        <f>IF(OR(A30="",G30&lt;&gt;"Activo"),"",IF(N(J30)=0,"Sin horas",E30/J30))</f>
        <v/>
      </c>
      <c r="L30" s="26">
        <f>IF(OR(A30="",G30&lt;&gt;"Activo"),"",IFERROR(E30/Tablero!$B$6,0))</f>
        <v/>
      </c>
      <c r="M30">
        <f>IF(NOT(ISNUMBER(K30)),"",IF(K30&lt;Parametros!$B$18,"BAJA",IF(K30&lt;Parametros!$B$18*1.25,"AJUSTADA","SANA")))</f>
        <v/>
      </c>
    </row>
    <row r="31">
      <c r="A31" s="19" t="n"/>
      <c r="B31" s="19" t="n"/>
      <c r="C31" s="19" t="n"/>
      <c r="D31" s="19" t="n"/>
      <c r="E31" s="20" t="n"/>
      <c r="F31" s="17" t="n"/>
      <c r="G31" s="19" t="n"/>
      <c r="H31" s="19" t="n"/>
      <c r="I31" s="19" t="n"/>
      <c r="J31" s="25">
        <f>IF(A31="","",SUMIFS(Horas!$D$2:$D$301,Horas!$B$2:$B$301,A31,Horas!$E$2:$E$301,Parametros!$B$1))</f>
        <v/>
      </c>
      <c r="K31" s="24">
        <f>IF(OR(A31="",G31&lt;&gt;"Activo"),"",IF(N(J31)=0,"Sin horas",E31/J31))</f>
        <v/>
      </c>
      <c r="L31" s="26">
        <f>IF(OR(A31="",G31&lt;&gt;"Activo"),"",IFERROR(E31/Tablero!$B$6,0))</f>
        <v/>
      </c>
      <c r="M31">
        <f>IF(NOT(ISNUMBER(K31)),"",IF(K31&lt;Parametros!$B$18,"BAJA",IF(K31&lt;Parametros!$B$18*1.25,"AJUSTADA","SANA")))</f>
        <v/>
      </c>
    </row>
    <row r="32">
      <c r="A32" s="19" t="n"/>
      <c r="B32" s="19" t="n"/>
      <c r="C32" s="19" t="n"/>
      <c r="D32" s="19" t="n"/>
      <c r="E32" s="20" t="n"/>
      <c r="F32" s="17" t="n"/>
      <c r="G32" s="19" t="n"/>
      <c r="H32" s="19" t="n"/>
      <c r="I32" s="19" t="n"/>
      <c r="J32" s="25">
        <f>IF(A32="","",SUMIFS(Horas!$D$2:$D$301,Horas!$B$2:$B$301,A32,Horas!$E$2:$E$301,Parametros!$B$1))</f>
        <v/>
      </c>
      <c r="K32" s="24">
        <f>IF(OR(A32="",G32&lt;&gt;"Activo"),"",IF(N(J32)=0,"Sin horas",E32/J32))</f>
        <v/>
      </c>
      <c r="L32" s="26">
        <f>IF(OR(A32="",G32&lt;&gt;"Activo"),"",IFERROR(E32/Tablero!$B$6,0))</f>
        <v/>
      </c>
      <c r="M32">
        <f>IF(NOT(ISNUMBER(K32)),"",IF(K32&lt;Parametros!$B$18,"BAJA",IF(K32&lt;Parametros!$B$18*1.25,"AJUSTADA","SANA")))</f>
        <v/>
      </c>
    </row>
    <row r="33">
      <c r="A33" s="19" t="n"/>
      <c r="B33" s="19" t="n"/>
      <c r="C33" s="19" t="n"/>
      <c r="D33" s="19" t="n"/>
      <c r="E33" s="20" t="n"/>
      <c r="F33" s="17" t="n"/>
      <c r="G33" s="19" t="n"/>
      <c r="H33" s="19" t="n"/>
      <c r="I33" s="19" t="n"/>
      <c r="J33" s="25">
        <f>IF(A33="","",SUMIFS(Horas!$D$2:$D$301,Horas!$B$2:$B$301,A33,Horas!$E$2:$E$301,Parametros!$B$1))</f>
        <v/>
      </c>
      <c r="K33" s="24">
        <f>IF(OR(A33="",G33&lt;&gt;"Activo"),"",IF(N(J33)=0,"Sin horas",E33/J33))</f>
        <v/>
      </c>
      <c r="L33" s="26">
        <f>IF(OR(A33="",G33&lt;&gt;"Activo"),"",IFERROR(E33/Tablero!$B$6,0))</f>
        <v/>
      </c>
      <c r="M33">
        <f>IF(NOT(ISNUMBER(K33)),"",IF(K33&lt;Parametros!$B$18,"BAJA",IF(K33&lt;Parametros!$B$18*1.25,"AJUSTADA","SANA")))</f>
        <v/>
      </c>
    </row>
    <row r="34">
      <c r="A34" s="19" t="n"/>
      <c r="B34" s="19" t="n"/>
      <c r="C34" s="19" t="n"/>
      <c r="D34" s="19" t="n"/>
      <c r="E34" s="20" t="n"/>
      <c r="F34" s="17" t="n"/>
      <c r="G34" s="19" t="n"/>
      <c r="H34" s="19" t="n"/>
      <c r="I34" s="19" t="n"/>
      <c r="J34" s="25">
        <f>IF(A34="","",SUMIFS(Horas!$D$2:$D$301,Horas!$B$2:$B$301,A34,Horas!$E$2:$E$301,Parametros!$B$1))</f>
        <v/>
      </c>
      <c r="K34" s="24">
        <f>IF(OR(A34="",G34&lt;&gt;"Activo"),"",IF(N(J34)=0,"Sin horas",E34/J34))</f>
        <v/>
      </c>
      <c r="L34" s="26">
        <f>IF(OR(A34="",G34&lt;&gt;"Activo"),"",IFERROR(E34/Tablero!$B$6,0))</f>
        <v/>
      </c>
      <c r="M34">
        <f>IF(NOT(ISNUMBER(K34)),"",IF(K34&lt;Parametros!$B$18,"BAJA",IF(K34&lt;Parametros!$B$18*1.25,"AJUSTADA","SANA")))</f>
        <v/>
      </c>
    </row>
    <row r="35">
      <c r="A35" s="19" t="n"/>
      <c r="B35" s="19" t="n"/>
      <c r="C35" s="19" t="n"/>
      <c r="D35" s="19" t="n"/>
      <c r="E35" s="20" t="n"/>
      <c r="F35" s="17" t="n"/>
      <c r="G35" s="19" t="n"/>
      <c r="H35" s="19" t="n"/>
      <c r="I35" s="19" t="n"/>
      <c r="J35" s="25">
        <f>IF(A35="","",SUMIFS(Horas!$D$2:$D$301,Horas!$B$2:$B$301,A35,Horas!$E$2:$E$301,Parametros!$B$1))</f>
        <v/>
      </c>
      <c r="K35" s="24">
        <f>IF(OR(A35="",G35&lt;&gt;"Activo"),"",IF(N(J35)=0,"Sin horas",E35/J35))</f>
        <v/>
      </c>
      <c r="L35" s="26">
        <f>IF(OR(A35="",G35&lt;&gt;"Activo"),"",IFERROR(E35/Tablero!$B$6,0))</f>
        <v/>
      </c>
      <c r="M35">
        <f>IF(NOT(ISNUMBER(K35)),"",IF(K35&lt;Parametros!$B$18,"BAJA",IF(K35&lt;Parametros!$B$18*1.25,"AJUSTADA","SANA")))</f>
        <v/>
      </c>
    </row>
    <row r="36">
      <c r="A36" s="19" t="n"/>
      <c r="B36" s="19" t="n"/>
      <c r="C36" s="19" t="n"/>
      <c r="D36" s="19" t="n"/>
      <c r="E36" s="20" t="n"/>
      <c r="F36" s="17" t="n"/>
      <c r="G36" s="19" t="n"/>
      <c r="H36" s="19" t="n"/>
      <c r="I36" s="19" t="n"/>
      <c r="J36" s="25">
        <f>IF(A36="","",SUMIFS(Horas!$D$2:$D$301,Horas!$B$2:$B$301,A36,Horas!$E$2:$E$301,Parametros!$B$1))</f>
        <v/>
      </c>
      <c r="K36" s="24">
        <f>IF(OR(A36="",G36&lt;&gt;"Activo"),"",IF(N(J36)=0,"Sin horas",E36/J36))</f>
        <v/>
      </c>
      <c r="L36" s="26">
        <f>IF(OR(A36="",G36&lt;&gt;"Activo"),"",IFERROR(E36/Tablero!$B$6,0))</f>
        <v/>
      </c>
      <c r="M36">
        <f>IF(NOT(ISNUMBER(K36)),"",IF(K36&lt;Parametros!$B$18,"BAJA",IF(K36&lt;Parametros!$B$18*1.25,"AJUSTADA","SANA")))</f>
        <v/>
      </c>
    </row>
    <row r="37">
      <c r="A37" s="19" t="n"/>
      <c r="B37" s="19" t="n"/>
      <c r="C37" s="19" t="n"/>
      <c r="D37" s="19" t="n"/>
      <c r="E37" s="20" t="n"/>
      <c r="F37" s="17" t="n"/>
      <c r="G37" s="19" t="n"/>
      <c r="H37" s="19" t="n"/>
      <c r="I37" s="19" t="n"/>
      <c r="J37" s="25">
        <f>IF(A37="","",SUMIFS(Horas!$D$2:$D$301,Horas!$B$2:$B$301,A37,Horas!$E$2:$E$301,Parametros!$B$1))</f>
        <v/>
      </c>
      <c r="K37" s="24">
        <f>IF(OR(A37="",G37&lt;&gt;"Activo"),"",IF(N(J37)=0,"Sin horas",E37/J37))</f>
        <v/>
      </c>
      <c r="L37" s="26">
        <f>IF(OR(A37="",G37&lt;&gt;"Activo"),"",IFERROR(E37/Tablero!$B$6,0))</f>
        <v/>
      </c>
      <c r="M37">
        <f>IF(NOT(ISNUMBER(K37)),"",IF(K37&lt;Parametros!$B$18,"BAJA",IF(K37&lt;Parametros!$B$18*1.25,"AJUSTADA","SANA")))</f>
        <v/>
      </c>
    </row>
    <row r="38">
      <c r="A38" s="19" t="n"/>
      <c r="B38" s="19" t="n"/>
      <c r="C38" s="19" t="n"/>
      <c r="D38" s="19" t="n"/>
      <c r="E38" s="20" t="n"/>
      <c r="F38" s="17" t="n"/>
      <c r="G38" s="19" t="n"/>
      <c r="H38" s="19" t="n"/>
      <c r="I38" s="19" t="n"/>
      <c r="J38" s="25">
        <f>IF(A38="","",SUMIFS(Horas!$D$2:$D$301,Horas!$B$2:$B$301,A38,Horas!$E$2:$E$301,Parametros!$B$1))</f>
        <v/>
      </c>
      <c r="K38" s="24">
        <f>IF(OR(A38="",G38&lt;&gt;"Activo"),"",IF(N(J38)=0,"Sin horas",E38/J38))</f>
        <v/>
      </c>
      <c r="L38" s="26">
        <f>IF(OR(A38="",G38&lt;&gt;"Activo"),"",IFERROR(E38/Tablero!$B$6,0))</f>
        <v/>
      </c>
      <c r="M38">
        <f>IF(NOT(ISNUMBER(K38)),"",IF(K38&lt;Parametros!$B$18,"BAJA",IF(K38&lt;Parametros!$B$18*1.25,"AJUSTADA","SANA")))</f>
        <v/>
      </c>
    </row>
    <row r="39">
      <c r="A39" s="19" t="n"/>
      <c r="B39" s="19" t="n"/>
      <c r="C39" s="19" t="n"/>
      <c r="D39" s="19" t="n"/>
      <c r="E39" s="20" t="n"/>
      <c r="F39" s="17" t="n"/>
      <c r="G39" s="19" t="n"/>
      <c r="H39" s="19" t="n"/>
      <c r="I39" s="19" t="n"/>
      <c r="J39" s="25">
        <f>IF(A39="","",SUMIFS(Horas!$D$2:$D$301,Horas!$B$2:$B$301,A39,Horas!$E$2:$E$301,Parametros!$B$1))</f>
        <v/>
      </c>
      <c r="K39" s="24">
        <f>IF(OR(A39="",G39&lt;&gt;"Activo"),"",IF(N(J39)=0,"Sin horas",E39/J39))</f>
        <v/>
      </c>
      <c r="L39" s="26">
        <f>IF(OR(A39="",G39&lt;&gt;"Activo"),"",IFERROR(E39/Tablero!$B$6,0))</f>
        <v/>
      </c>
      <c r="M39">
        <f>IF(NOT(ISNUMBER(K39)),"",IF(K39&lt;Parametros!$B$18,"BAJA",IF(K39&lt;Parametros!$B$18*1.25,"AJUSTADA","SANA")))</f>
        <v/>
      </c>
    </row>
    <row r="40">
      <c r="A40" s="19" t="n"/>
      <c r="B40" s="19" t="n"/>
      <c r="C40" s="19" t="n"/>
      <c r="D40" s="19" t="n"/>
      <c r="E40" s="20" t="n"/>
      <c r="F40" s="17" t="n"/>
      <c r="G40" s="19" t="n"/>
      <c r="H40" s="19" t="n"/>
      <c r="I40" s="19" t="n"/>
      <c r="J40" s="25">
        <f>IF(A40="","",SUMIFS(Horas!$D$2:$D$301,Horas!$B$2:$B$301,A40,Horas!$E$2:$E$301,Parametros!$B$1))</f>
        <v/>
      </c>
      <c r="K40" s="24">
        <f>IF(OR(A40="",G40&lt;&gt;"Activo"),"",IF(N(J40)=0,"Sin horas",E40/J40))</f>
        <v/>
      </c>
      <c r="L40" s="26">
        <f>IF(OR(A40="",G40&lt;&gt;"Activo"),"",IFERROR(E40/Tablero!$B$6,0))</f>
        <v/>
      </c>
      <c r="M40">
        <f>IF(NOT(ISNUMBER(K40)),"",IF(K40&lt;Parametros!$B$18,"BAJA",IF(K40&lt;Parametros!$B$18*1.25,"AJUSTADA","SANA")))</f>
        <v/>
      </c>
    </row>
    <row r="41">
      <c r="A41" s="19" t="n"/>
      <c r="B41" s="19" t="n"/>
      <c r="C41" s="19" t="n"/>
      <c r="D41" s="19" t="n"/>
      <c r="E41" s="20" t="n"/>
      <c r="F41" s="17" t="n"/>
      <c r="G41" s="19" t="n"/>
      <c r="H41" s="19" t="n"/>
      <c r="I41" s="19" t="n"/>
      <c r="J41" s="25">
        <f>IF(A41="","",SUMIFS(Horas!$D$2:$D$301,Horas!$B$2:$B$301,A41,Horas!$E$2:$E$301,Parametros!$B$1))</f>
        <v/>
      </c>
      <c r="K41" s="24">
        <f>IF(OR(A41="",G41&lt;&gt;"Activo"),"",IF(N(J41)=0,"Sin horas",E41/J41))</f>
        <v/>
      </c>
      <c r="L41" s="26">
        <f>IF(OR(A41="",G41&lt;&gt;"Activo"),"",IFERROR(E41/Tablero!$B$6,0))</f>
        <v/>
      </c>
      <c r="M41">
        <f>IF(NOT(ISNUMBER(K41)),"",IF(K41&lt;Parametros!$B$18,"BAJA",IF(K41&lt;Parametros!$B$18*1.25,"AJUSTADA","SANA")))</f>
        <v/>
      </c>
    </row>
    <row r="42">
      <c r="A42" s="19" t="n"/>
      <c r="B42" s="19" t="n"/>
      <c r="C42" s="19" t="n"/>
      <c r="D42" s="19" t="n"/>
      <c r="E42" s="20" t="n"/>
      <c r="F42" s="17" t="n"/>
      <c r="G42" s="19" t="n"/>
      <c r="H42" s="19" t="n"/>
      <c r="I42" s="19" t="n"/>
      <c r="J42" s="25">
        <f>IF(A42="","",SUMIFS(Horas!$D$2:$D$301,Horas!$B$2:$B$301,A42,Horas!$E$2:$E$301,Parametros!$B$1))</f>
        <v/>
      </c>
      <c r="K42" s="24">
        <f>IF(OR(A42="",G42&lt;&gt;"Activo"),"",IF(N(J42)=0,"Sin horas",E42/J42))</f>
        <v/>
      </c>
      <c r="L42" s="26">
        <f>IF(OR(A42="",G42&lt;&gt;"Activo"),"",IFERROR(E42/Tablero!$B$6,0))</f>
        <v/>
      </c>
      <c r="M42">
        <f>IF(NOT(ISNUMBER(K42)),"",IF(K42&lt;Parametros!$B$18,"BAJA",IF(K42&lt;Parametros!$B$18*1.25,"AJUSTADA","SANA")))</f>
        <v/>
      </c>
    </row>
    <row r="43">
      <c r="A43" s="19" t="n"/>
      <c r="B43" s="19" t="n"/>
      <c r="C43" s="19" t="n"/>
      <c r="D43" s="19" t="n"/>
      <c r="E43" s="20" t="n"/>
      <c r="F43" s="17" t="n"/>
      <c r="G43" s="19" t="n"/>
      <c r="H43" s="19" t="n"/>
      <c r="I43" s="19" t="n"/>
      <c r="J43" s="25">
        <f>IF(A43="","",SUMIFS(Horas!$D$2:$D$301,Horas!$B$2:$B$301,A43,Horas!$E$2:$E$301,Parametros!$B$1))</f>
        <v/>
      </c>
      <c r="K43" s="24">
        <f>IF(OR(A43="",G43&lt;&gt;"Activo"),"",IF(N(J43)=0,"Sin horas",E43/J43))</f>
        <v/>
      </c>
      <c r="L43" s="26">
        <f>IF(OR(A43="",G43&lt;&gt;"Activo"),"",IFERROR(E43/Tablero!$B$6,0))</f>
        <v/>
      </c>
      <c r="M43">
        <f>IF(NOT(ISNUMBER(K43)),"",IF(K43&lt;Parametros!$B$18,"BAJA",IF(K43&lt;Parametros!$B$18*1.25,"AJUSTADA","SANA")))</f>
        <v/>
      </c>
    </row>
    <row r="44">
      <c r="A44" s="19" t="n"/>
      <c r="B44" s="19" t="n"/>
      <c r="C44" s="19" t="n"/>
      <c r="D44" s="19" t="n"/>
      <c r="E44" s="20" t="n"/>
      <c r="F44" s="17" t="n"/>
      <c r="G44" s="19" t="n"/>
      <c r="H44" s="19" t="n"/>
      <c r="I44" s="19" t="n"/>
      <c r="J44" s="25">
        <f>IF(A44="","",SUMIFS(Horas!$D$2:$D$301,Horas!$B$2:$B$301,A44,Horas!$E$2:$E$301,Parametros!$B$1))</f>
        <v/>
      </c>
      <c r="K44" s="24">
        <f>IF(OR(A44="",G44&lt;&gt;"Activo"),"",IF(N(J44)=0,"Sin horas",E44/J44))</f>
        <v/>
      </c>
      <c r="L44" s="26">
        <f>IF(OR(A44="",G44&lt;&gt;"Activo"),"",IFERROR(E44/Tablero!$B$6,0))</f>
        <v/>
      </c>
      <c r="M44">
        <f>IF(NOT(ISNUMBER(K44)),"",IF(K44&lt;Parametros!$B$18,"BAJA",IF(K44&lt;Parametros!$B$18*1.25,"AJUSTADA","SANA")))</f>
        <v/>
      </c>
    </row>
    <row r="45">
      <c r="A45" s="19" t="n"/>
      <c r="B45" s="19" t="n"/>
      <c r="C45" s="19" t="n"/>
      <c r="D45" s="19" t="n"/>
      <c r="E45" s="20" t="n"/>
      <c r="F45" s="17" t="n"/>
      <c r="G45" s="19" t="n"/>
      <c r="H45" s="19" t="n"/>
      <c r="I45" s="19" t="n"/>
      <c r="J45" s="25">
        <f>IF(A45="","",SUMIFS(Horas!$D$2:$D$301,Horas!$B$2:$B$301,A45,Horas!$E$2:$E$301,Parametros!$B$1))</f>
        <v/>
      </c>
      <c r="K45" s="24">
        <f>IF(OR(A45="",G45&lt;&gt;"Activo"),"",IF(N(J45)=0,"Sin horas",E45/J45))</f>
        <v/>
      </c>
      <c r="L45" s="26">
        <f>IF(OR(A45="",G45&lt;&gt;"Activo"),"",IFERROR(E45/Tablero!$B$6,0))</f>
        <v/>
      </c>
      <c r="M45">
        <f>IF(NOT(ISNUMBER(K45)),"",IF(K45&lt;Parametros!$B$18,"BAJA",IF(K45&lt;Parametros!$B$18*1.25,"AJUSTADA","SANA")))</f>
        <v/>
      </c>
    </row>
    <row r="46">
      <c r="A46" s="19" t="n"/>
      <c r="B46" s="19" t="n"/>
      <c r="C46" s="19" t="n"/>
      <c r="D46" s="19" t="n"/>
      <c r="E46" s="20" t="n"/>
      <c r="F46" s="17" t="n"/>
      <c r="G46" s="19" t="n"/>
      <c r="H46" s="19" t="n"/>
      <c r="I46" s="19" t="n"/>
      <c r="J46" s="25">
        <f>IF(A46="","",SUMIFS(Horas!$D$2:$D$301,Horas!$B$2:$B$301,A46,Horas!$E$2:$E$301,Parametros!$B$1))</f>
        <v/>
      </c>
      <c r="K46" s="24">
        <f>IF(OR(A46="",G46&lt;&gt;"Activo"),"",IF(N(J46)=0,"Sin horas",E46/J46))</f>
        <v/>
      </c>
      <c r="L46" s="26">
        <f>IF(OR(A46="",G46&lt;&gt;"Activo"),"",IFERROR(E46/Tablero!$B$6,0))</f>
        <v/>
      </c>
      <c r="M46">
        <f>IF(NOT(ISNUMBER(K46)),"",IF(K46&lt;Parametros!$B$18,"BAJA",IF(K46&lt;Parametros!$B$18*1.25,"AJUSTADA","SANA")))</f>
        <v/>
      </c>
    </row>
    <row r="47">
      <c r="A47" s="19" t="n"/>
      <c r="B47" s="19" t="n"/>
      <c r="C47" s="19" t="n"/>
      <c r="D47" s="19" t="n"/>
      <c r="E47" s="20" t="n"/>
      <c r="F47" s="17" t="n"/>
      <c r="G47" s="19" t="n"/>
      <c r="H47" s="19" t="n"/>
      <c r="I47" s="19" t="n"/>
      <c r="J47" s="25">
        <f>IF(A47="","",SUMIFS(Horas!$D$2:$D$301,Horas!$B$2:$B$301,A47,Horas!$E$2:$E$301,Parametros!$B$1))</f>
        <v/>
      </c>
      <c r="K47" s="24">
        <f>IF(OR(A47="",G47&lt;&gt;"Activo"),"",IF(N(J47)=0,"Sin horas",E47/J47))</f>
        <v/>
      </c>
      <c r="L47" s="26">
        <f>IF(OR(A47="",G47&lt;&gt;"Activo"),"",IFERROR(E47/Tablero!$B$6,0))</f>
        <v/>
      </c>
      <c r="M47">
        <f>IF(NOT(ISNUMBER(K47)),"",IF(K47&lt;Parametros!$B$18,"BAJA",IF(K47&lt;Parametros!$B$18*1.25,"AJUSTADA","SANA")))</f>
        <v/>
      </c>
    </row>
    <row r="48">
      <c r="A48" s="19" t="n"/>
      <c r="B48" s="19" t="n"/>
      <c r="C48" s="19" t="n"/>
      <c r="D48" s="19" t="n"/>
      <c r="E48" s="20" t="n"/>
      <c r="F48" s="17" t="n"/>
      <c r="G48" s="19" t="n"/>
      <c r="H48" s="19" t="n"/>
      <c r="I48" s="19" t="n"/>
      <c r="J48" s="25">
        <f>IF(A48="","",SUMIFS(Horas!$D$2:$D$301,Horas!$B$2:$B$301,A48,Horas!$E$2:$E$301,Parametros!$B$1))</f>
        <v/>
      </c>
      <c r="K48" s="24">
        <f>IF(OR(A48="",G48&lt;&gt;"Activo"),"",IF(N(J48)=0,"Sin horas",E48/J48))</f>
        <v/>
      </c>
      <c r="L48" s="26">
        <f>IF(OR(A48="",G48&lt;&gt;"Activo"),"",IFERROR(E48/Tablero!$B$6,0))</f>
        <v/>
      </c>
      <c r="M48">
        <f>IF(NOT(ISNUMBER(K48)),"",IF(K48&lt;Parametros!$B$18,"BAJA",IF(K48&lt;Parametros!$B$18*1.25,"AJUSTADA","SANA")))</f>
        <v/>
      </c>
    </row>
    <row r="49">
      <c r="A49" s="19" t="n"/>
      <c r="B49" s="19" t="n"/>
      <c r="C49" s="19" t="n"/>
      <c r="D49" s="19" t="n"/>
      <c r="E49" s="20" t="n"/>
      <c r="F49" s="17" t="n"/>
      <c r="G49" s="19" t="n"/>
      <c r="H49" s="19" t="n"/>
      <c r="I49" s="19" t="n"/>
      <c r="J49" s="25">
        <f>IF(A49="","",SUMIFS(Horas!$D$2:$D$301,Horas!$B$2:$B$301,A49,Horas!$E$2:$E$301,Parametros!$B$1))</f>
        <v/>
      </c>
      <c r="K49" s="24">
        <f>IF(OR(A49="",G49&lt;&gt;"Activo"),"",IF(N(J49)=0,"Sin horas",E49/J49))</f>
        <v/>
      </c>
      <c r="L49" s="26">
        <f>IF(OR(A49="",G49&lt;&gt;"Activo"),"",IFERROR(E49/Tablero!$B$6,0))</f>
        <v/>
      </c>
      <c r="M49">
        <f>IF(NOT(ISNUMBER(K49)),"",IF(K49&lt;Parametros!$B$18,"BAJA",IF(K49&lt;Parametros!$B$18*1.25,"AJUSTADA","SANA")))</f>
        <v/>
      </c>
    </row>
    <row r="50">
      <c r="A50" s="19" t="n"/>
      <c r="B50" s="19" t="n"/>
      <c r="C50" s="19" t="n"/>
      <c r="D50" s="19" t="n"/>
      <c r="E50" s="20" t="n"/>
      <c r="F50" s="17" t="n"/>
      <c r="G50" s="19" t="n"/>
      <c r="H50" s="19" t="n"/>
      <c r="I50" s="19" t="n"/>
      <c r="J50" s="25">
        <f>IF(A50="","",SUMIFS(Horas!$D$2:$D$301,Horas!$B$2:$B$301,A50,Horas!$E$2:$E$301,Parametros!$B$1))</f>
        <v/>
      </c>
      <c r="K50" s="24">
        <f>IF(OR(A50="",G50&lt;&gt;"Activo"),"",IF(N(J50)=0,"Sin horas",E50/J50))</f>
        <v/>
      </c>
      <c r="L50" s="26">
        <f>IF(OR(A50="",G50&lt;&gt;"Activo"),"",IFERROR(E50/Tablero!$B$6,0))</f>
        <v/>
      </c>
      <c r="M50">
        <f>IF(NOT(ISNUMBER(K50)),"",IF(K50&lt;Parametros!$B$18,"BAJA",IF(K50&lt;Parametros!$B$18*1.25,"AJUSTADA","SANA")))</f>
        <v/>
      </c>
    </row>
    <row r="51">
      <c r="A51" s="19" t="n"/>
      <c r="B51" s="19" t="n"/>
      <c r="C51" s="19" t="n"/>
      <c r="D51" s="19" t="n"/>
      <c r="E51" s="20" t="n"/>
      <c r="F51" s="17" t="n"/>
      <c r="G51" s="19" t="n"/>
      <c r="H51" s="19" t="n"/>
      <c r="I51" s="19" t="n"/>
      <c r="J51" s="25">
        <f>IF(A51="","",SUMIFS(Horas!$D$2:$D$301,Horas!$B$2:$B$301,A51,Horas!$E$2:$E$301,Parametros!$B$1))</f>
        <v/>
      </c>
      <c r="K51" s="24">
        <f>IF(OR(A51="",G51&lt;&gt;"Activo"),"",IF(N(J51)=0,"Sin horas",E51/J51))</f>
        <v/>
      </c>
      <c r="L51" s="26">
        <f>IF(OR(A51="",G51&lt;&gt;"Activo"),"",IFERROR(E51/Tablero!$B$6,0))</f>
        <v/>
      </c>
      <c r="M51">
        <f>IF(NOT(ISNUMBER(K51)),"",IF(K51&lt;Parametros!$B$18,"BAJA",IF(K51&lt;Parametros!$B$18*1.25,"AJUSTADA","SANA")))</f>
        <v/>
      </c>
    </row>
    <row r="52">
      <c r="A52" s="19" t="n"/>
      <c r="B52" s="19" t="n"/>
      <c r="C52" s="19" t="n"/>
      <c r="D52" s="19" t="n"/>
      <c r="E52" s="20" t="n"/>
      <c r="F52" s="17" t="n"/>
      <c r="G52" s="19" t="n"/>
      <c r="H52" s="19" t="n"/>
      <c r="I52" s="19" t="n"/>
      <c r="J52" s="25">
        <f>IF(A52="","",SUMIFS(Horas!$D$2:$D$301,Horas!$B$2:$B$301,A52,Horas!$E$2:$E$301,Parametros!$B$1))</f>
        <v/>
      </c>
      <c r="K52" s="24">
        <f>IF(OR(A52="",G52&lt;&gt;"Activo"),"",IF(N(J52)=0,"Sin horas",E52/J52))</f>
        <v/>
      </c>
      <c r="L52" s="26">
        <f>IF(OR(A52="",G52&lt;&gt;"Activo"),"",IFERROR(E52/Tablero!$B$6,0))</f>
        <v/>
      </c>
      <c r="M52">
        <f>IF(NOT(ISNUMBER(K52)),"",IF(K52&lt;Parametros!$B$18,"BAJA",IF(K52&lt;Parametros!$B$18*1.25,"AJUSTADA","SANA")))</f>
        <v/>
      </c>
    </row>
    <row r="53">
      <c r="A53" s="19" t="n"/>
      <c r="B53" s="19" t="n"/>
      <c r="C53" s="19" t="n"/>
      <c r="D53" s="19" t="n"/>
      <c r="E53" s="20" t="n"/>
      <c r="F53" s="17" t="n"/>
      <c r="G53" s="19" t="n"/>
      <c r="H53" s="19" t="n"/>
      <c r="I53" s="19" t="n"/>
      <c r="J53" s="25">
        <f>IF(A53="","",SUMIFS(Horas!$D$2:$D$301,Horas!$B$2:$B$301,A53,Horas!$E$2:$E$301,Parametros!$B$1))</f>
        <v/>
      </c>
      <c r="K53" s="24">
        <f>IF(OR(A53="",G53&lt;&gt;"Activo"),"",IF(N(J53)=0,"Sin horas",E53/J53))</f>
        <v/>
      </c>
      <c r="L53" s="26">
        <f>IF(OR(A53="",G53&lt;&gt;"Activo"),"",IFERROR(E53/Tablero!$B$6,0))</f>
        <v/>
      </c>
      <c r="M53">
        <f>IF(NOT(ISNUMBER(K53)),"",IF(K53&lt;Parametros!$B$18,"BAJA",IF(K53&lt;Parametros!$B$18*1.25,"AJUSTADA","SANA")))</f>
        <v/>
      </c>
    </row>
    <row r="54">
      <c r="A54" s="19" t="n"/>
      <c r="B54" s="19" t="n"/>
      <c r="C54" s="19" t="n"/>
      <c r="D54" s="19" t="n"/>
      <c r="E54" s="20" t="n"/>
      <c r="F54" s="17" t="n"/>
      <c r="G54" s="19" t="n"/>
      <c r="H54" s="19" t="n"/>
      <c r="I54" s="19" t="n"/>
      <c r="J54" s="25">
        <f>IF(A54="","",SUMIFS(Horas!$D$2:$D$301,Horas!$B$2:$B$301,A54,Horas!$E$2:$E$301,Parametros!$B$1))</f>
        <v/>
      </c>
      <c r="K54" s="24">
        <f>IF(OR(A54="",G54&lt;&gt;"Activo"),"",IF(N(J54)=0,"Sin horas",E54/J54))</f>
        <v/>
      </c>
      <c r="L54" s="26">
        <f>IF(OR(A54="",G54&lt;&gt;"Activo"),"",IFERROR(E54/Tablero!$B$6,0))</f>
        <v/>
      </c>
      <c r="M54">
        <f>IF(NOT(ISNUMBER(K54)),"",IF(K54&lt;Parametros!$B$18,"BAJA",IF(K54&lt;Parametros!$B$18*1.25,"AJUSTADA","SANA")))</f>
        <v/>
      </c>
    </row>
    <row r="55">
      <c r="A55" s="19" t="n"/>
      <c r="B55" s="19" t="n"/>
      <c r="C55" s="19" t="n"/>
      <c r="D55" s="19" t="n"/>
      <c r="E55" s="20" t="n"/>
      <c r="F55" s="17" t="n"/>
      <c r="G55" s="19" t="n"/>
      <c r="H55" s="19" t="n"/>
      <c r="I55" s="19" t="n"/>
      <c r="J55" s="25">
        <f>IF(A55="","",SUMIFS(Horas!$D$2:$D$301,Horas!$B$2:$B$301,A55,Horas!$E$2:$E$301,Parametros!$B$1))</f>
        <v/>
      </c>
      <c r="K55" s="24">
        <f>IF(OR(A55="",G55&lt;&gt;"Activo"),"",IF(N(J55)=0,"Sin horas",E55/J55))</f>
        <v/>
      </c>
      <c r="L55" s="26">
        <f>IF(OR(A55="",G55&lt;&gt;"Activo"),"",IFERROR(E55/Tablero!$B$6,0))</f>
        <v/>
      </c>
      <c r="M55">
        <f>IF(NOT(ISNUMBER(K55)),"",IF(K55&lt;Parametros!$B$18,"BAJA",IF(K55&lt;Parametros!$B$18*1.25,"AJUSTADA","SANA")))</f>
        <v/>
      </c>
    </row>
    <row r="56">
      <c r="A56" s="19" t="n"/>
      <c r="B56" s="19" t="n"/>
      <c r="C56" s="19" t="n"/>
      <c r="D56" s="19" t="n"/>
      <c r="E56" s="20" t="n"/>
      <c r="F56" s="17" t="n"/>
      <c r="G56" s="19" t="n"/>
      <c r="H56" s="19" t="n"/>
      <c r="I56" s="19" t="n"/>
      <c r="J56" s="25">
        <f>IF(A56="","",SUMIFS(Horas!$D$2:$D$301,Horas!$B$2:$B$301,A56,Horas!$E$2:$E$301,Parametros!$B$1))</f>
        <v/>
      </c>
      <c r="K56" s="24">
        <f>IF(OR(A56="",G56&lt;&gt;"Activo"),"",IF(N(J56)=0,"Sin horas",E56/J56))</f>
        <v/>
      </c>
      <c r="L56" s="26">
        <f>IF(OR(A56="",G56&lt;&gt;"Activo"),"",IFERROR(E56/Tablero!$B$6,0))</f>
        <v/>
      </c>
      <c r="M56">
        <f>IF(NOT(ISNUMBER(K56)),"",IF(K56&lt;Parametros!$B$18,"BAJA",IF(K56&lt;Parametros!$B$18*1.25,"AJUSTADA","SANA")))</f>
        <v/>
      </c>
    </row>
    <row r="57">
      <c r="A57" s="19" t="n"/>
      <c r="B57" s="19" t="n"/>
      <c r="C57" s="19" t="n"/>
      <c r="D57" s="19" t="n"/>
      <c r="E57" s="20" t="n"/>
      <c r="F57" s="17" t="n"/>
      <c r="G57" s="19" t="n"/>
      <c r="H57" s="19" t="n"/>
      <c r="I57" s="19" t="n"/>
      <c r="J57" s="25">
        <f>IF(A57="","",SUMIFS(Horas!$D$2:$D$301,Horas!$B$2:$B$301,A57,Horas!$E$2:$E$301,Parametros!$B$1))</f>
        <v/>
      </c>
      <c r="K57" s="24">
        <f>IF(OR(A57="",G57&lt;&gt;"Activo"),"",IF(N(J57)=0,"Sin horas",E57/J57))</f>
        <v/>
      </c>
      <c r="L57" s="26">
        <f>IF(OR(A57="",G57&lt;&gt;"Activo"),"",IFERROR(E57/Tablero!$B$6,0))</f>
        <v/>
      </c>
      <c r="M57">
        <f>IF(NOT(ISNUMBER(K57)),"",IF(K57&lt;Parametros!$B$18,"BAJA",IF(K57&lt;Parametros!$B$18*1.25,"AJUSTADA","SANA")))</f>
        <v/>
      </c>
    </row>
    <row r="58">
      <c r="A58" s="19" t="n"/>
      <c r="B58" s="19" t="n"/>
      <c r="C58" s="19" t="n"/>
      <c r="D58" s="19" t="n"/>
      <c r="E58" s="20" t="n"/>
      <c r="F58" s="17" t="n"/>
      <c r="G58" s="19" t="n"/>
      <c r="H58" s="19" t="n"/>
      <c r="I58" s="19" t="n"/>
      <c r="J58" s="25">
        <f>IF(A58="","",SUMIFS(Horas!$D$2:$D$301,Horas!$B$2:$B$301,A58,Horas!$E$2:$E$301,Parametros!$B$1))</f>
        <v/>
      </c>
      <c r="K58" s="24">
        <f>IF(OR(A58="",G58&lt;&gt;"Activo"),"",IF(N(J58)=0,"Sin horas",E58/J58))</f>
        <v/>
      </c>
      <c r="L58" s="26">
        <f>IF(OR(A58="",G58&lt;&gt;"Activo"),"",IFERROR(E58/Tablero!$B$6,0))</f>
        <v/>
      </c>
      <c r="M58">
        <f>IF(NOT(ISNUMBER(K58)),"",IF(K58&lt;Parametros!$B$18,"BAJA",IF(K58&lt;Parametros!$B$18*1.25,"AJUSTADA","SANA")))</f>
        <v/>
      </c>
    </row>
    <row r="59">
      <c r="A59" s="19" t="n"/>
      <c r="B59" s="19" t="n"/>
      <c r="C59" s="19" t="n"/>
      <c r="D59" s="19" t="n"/>
      <c r="E59" s="20" t="n"/>
      <c r="F59" s="17" t="n"/>
      <c r="G59" s="19" t="n"/>
      <c r="H59" s="19" t="n"/>
      <c r="I59" s="19" t="n"/>
      <c r="J59" s="25">
        <f>IF(A59="","",SUMIFS(Horas!$D$2:$D$301,Horas!$B$2:$B$301,A59,Horas!$E$2:$E$301,Parametros!$B$1))</f>
        <v/>
      </c>
      <c r="K59" s="24">
        <f>IF(OR(A59="",G59&lt;&gt;"Activo"),"",IF(N(J59)=0,"Sin horas",E59/J59))</f>
        <v/>
      </c>
      <c r="L59" s="26">
        <f>IF(OR(A59="",G59&lt;&gt;"Activo"),"",IFERROR(E59/Tablero!$B$6,0))</f>
        <v/>
      </c>
      <c r="M59">
        <f>IF(NOT(ISNUMBER(K59)),"",IF(K59&lt;Parametros!$B$18,"BAJA",IF(K59&lt;Parametros!$B$18*1.25,"AJUSTADA","SANA")))</f>
        <v/>
      </c>
    </row>
    <row r="60">
      <c r="A60" s="19" t="n"/>
      <c r="B60" s="19" t="n"/>
      <c r="C60" s="19" t="n"/>
      <c r="D60" s="19" t="n"/>
      <c r="E60" s="20" t="n"/>
      <c r="F60" s="17" t="n"/>
      <c r="G60" s="19" t="n"/>
      <c r="H60" s="19" t="n"/>
      <c r="I60" s="19" t="n"/>
      <c r="J60" s="25">
        <f>IF(A60="","",SUMIFS(Horas!$D$2:$D$301,Horas!$B$2:$B$301,A60,Horas!$E$2:$E$301,Parametros!$B$1))</f>
        <v/>
      </c>
      <c r="K60" s="24">
        <f>IF(OR(A60="",G60&lt;&gt;"Activo"),"",IF(N(J60)=0,"Sin horas",E60/J60))</f>
        <v/>
      </c>
      <c r="L60" s="26">
        <f>IF(OR(A60="",G60&lt;&gt;"Activo"),"",IFERROR(E60/Tablero!$B$6,0))</f>
        <v/>
      </c>
      <c r="M60">
        <f>IF(NOT(ISNUMBER(K60)),"",IF(K60&lt;Parametros!$B$18,"BAJA",IF(K60&lt;Parametros!$B$18*1.25,"AJUSTADA","SANA")))</f>
        <v/>
      </c>
    </row>
    <row r="61">
      <c r="A61" s="19" t="n"/>
      <c r="B61" s="19" t="n"/>
      <c r="C61" s="19" t="n"/>
      <c r="D61" s="19" t="n"/>
      <c r="E61" s="20" t="n"/>
      <c r="F61" s="17" t="n"/>
      <c r="G61" s="19" t="n"/>
      <c r="H61" s="19" t="n"/>
      <c r="I61" s="19" t="n"/>
      <c r="J61" s="25">
        <f>IF(A61="","",SUMIFS(Horas!$D$2:$D$301,Horas!$B$2:$B$301,A61,Horas!$E$2:$E$301,Parametros!$B$1))</f>
        <v/>
      </c>
      <c r="K61" s="24">
        <f>IF(OR(A61="",G61&lt;&gt;"Activo"),"",IF(N(J61)=0,"Sin horas",E61/J61))</f>
        <v/>
      </c>
      <c r="L61" s="26">
        <f>IF(OR(A61="",G61&lt;&gt;"Activo"),"",IFERROR(E61/Tablero!$B$6,0))</f>
        <v/>
      </c>
      <c r="M61">
        <f>IF(NOT(ISNUMBER(K61)),"",IF(K61&lt;Parametros!$B$18,"BAJA",IF(K61&lt;Parametros!$B$18*1.25,"AJUSTADA","SANA")))</f>
        <v/>
      </c>
    </row>
    <row r="62">
      <c r="A62" s="19" t="n"/>
      <c r="B62" s="19" t="n"/>
      <c r="C62" s="19" t="n"/>
      <c r="D62" s="19" t="n"/>
      <c r="E62" s="20" t="n"/>
      <c r="F62" s="17" t="n"/>
      <c r="G62" s="19" t="n"/>
      <c r="H62" s="19" t="n"/>
      <c r="I62" s="19" t="n"/>
      <c r="J62" s="25">
        <f>IF(A62="","",SUMIFS(Horas!$D$2:$D$301,Horas!$B$2:$B$301,A62,Horas!$E$2:$E$301,Parametros!$B$1))</f>
        <v/>
      </c>
      <c r="K62" s="24">
        <f>IF(OR(A62="",G62&lt;&gt;"Activo"),"",IF(N(J62)=0,"Sin horas",E62/J62))</f>
        <v/>
      </c>
      <c r="L62" s="26">
        <f>IF(OR(A62="",G62&lt;&gt;"Activo"),"",IFERROR(E62/Tablero!$B$6,0))</f>
        <v/>
      </c>
      <c r="M62">
        <f>IF(NOT(ISNUMBER(K62)),"",IF(K62&lt;Parametros!$B$18,"BAJA",IF(K62&lt;Parametros!$B$18*1.25,"AJUSTADA","SANA")))</f>
        <v/>
      </c>
    </row>
    <row r="63">
      <c r="A63" s="19" t="n"/>
      <c r="B63" s="19" t="n"/>
      <c r="C63" s="19" t="n"/>
      <c r="D63" s="19" t="n"/>
      <c r="E63" s="20" t="n"/>
      <c r="F63" s="17" t="n"/>
      <c r="G63" s="19" t="n"/>
      <c r="H63" s="19" t="n"/>
      <c r="I63" s="19" t="n"/>
      <c r="J63" s="25">
        <f>IF(A63="","",SUMIFS(Horas!$D$2:$D$301,Horas!$B$2:$B$301,A63,Horas!$E$2:$E$301,Parametros!$B$1))</f>
        <v/>
      </c>
      <c r="K63" s="24">
        <f>IF(OR(A63="",G63&lt;&gt;"Activo"),"",IF(N(J63)=0,"Sin horas",E63/J63))</f>
        <v/>
      </c>
      <c r="L63" s="26">
        <f>IF(OR(A63="",G63&lt;&gt;"Activo"),"",IFERROR(E63/Tablero!$B$6,0))</f>
        <v/>
      </c>
      <c r="M63">
        <f>IF(NOT(ISNUMBER(K63)),"",IF(K63&lt;Parametros!$B$18,"BAJA",IF(K63&lt;Parametros!$B$18*1.25,"AJUSTADA","SANA")))</f>
        <v/>
      </c>
    </row>
    <row r="64">
      <c r="A64" s="19" t="n"/>
      <c r="B64" s="19" t="n"/>
      <c r="C64" s="19" t="n"/>
      <c r="D64" s="19" t="n"/>
      <c r="E64" s="20" t="n"/>
      <c r="F64" s="17" t="n"/>
      <c r="G64" s="19" t="n"/>
      <c r="H64" s="19" t="n"/>
      <c r="I64" s="19" t="n"/>
      <c r="J64" s="25">
        <f>IF(A64="","",SUMIFS(Horas!$D$2:$D$301,Horas!$B$2:$B$301,A64,Horas!$E$2:$E$301,Parametros!$B$1))</f>
        <v/>
      </c>
      <c r="K64" s="24">
        <f>IF(OR(A64="",G64&lt;&gt;"Activo"),"",IF(N(J64)=0,"Sin horas",E64/J64))</f>
        <v/>
      </c>
      <c r="L64" s="26">
        <f>IF(OR(A64="",G64&lt;&gt;"Activo"),"",IFERROR(E64/Tablero!$B$6,0))</f>
        <v/>
      </c>
      <c r="M64">
        <f>IF(NOT(ISNUMBER(K64)),"",IF(K64&lt;Parametros!$B$18,"BAJA",IF(K64&lt;Parametros!$B$18*1.25,"AJUSTADA","SANA")))</f>
        <v/>
      </c>
    </row>
    <row r="65">
      <c r="A65" s="19" t="n"/>
      <c r="B65" s="19" t="n"/>
      <c r="C65" s="19" t="n"/>
      <c r="D65" s="19" t="n"/>
      <c r="E65" s="20" t="n"/>
      <c r="F65" s="17" t="n"/>
      <c r="G65" s="19" t="n"/>
      <c r="H65" s="19" t="n"/>
      <c r="I65" s="19" t="n"/>
      <c r="J65" s="25">
        <f>IF(A65="","",SUMIFS(Horas!$D$2:$D$301,Horas!$B$2:$B$301,A65,Horas!$E$2:$E$301,Parametros!$B$1))</f>
        <v/>
      </c>
      <c r="K65" s="24">
        <f>IF(OR(A65="",G65&lt;&gt;"Activo"),"",IF(N(J65)=0,"Sin horas",E65/J65))</f>
        <v/>
      </c>
      <c r="L65" s="26">
        <f>IF(OR(A65="",G65&lt;&gt;"Activo"),"",IFERROR(E65/Tablero!$B$6,0))</f>
        <v/>
      </c>
      <c r="M65">
        <f>IF(NOT(ISNUMBER(K65)),"",IF(K65&lt;Parametros!$B$18,"BAJA",IF(K65&lt;Parametros!$B$18*1.25,"AJUSTADA","SANA")))</f>
        <v/>
      </c>
    </row>
    <row r="66">
      <c r="A66" s="19" t="n"/>
      <c r="B66" s="19" t="n"/>
      <c r="C66" s="19" t="n"/>
      <c r="D66" s="19" t="n"/>
      <c r="E66" s="20" t="n"/>
      <c r="F66" s="17" t="n"/>
      <c r="G66" s="19" t="n"/>
      <c r="H66" s="19" t="n"/>
      <c r="I66" s="19" t="n"/>
      <c r="J66" s="25">
        <f>IF(A66="","",SUMIFS(Horas!$D$2:$D$301,Horas!$B$2:$B$301,A66,Horas!$E$2:$E$301,Parametros!$B$1))</f>
        <v/>
      </c>
      <c r="K66" s="24">
        <f>IF(OR(A66="",G66&lt;&gt;"Activo"),"",IF(N(J66)=0,"Sin horas",E66/J66))</f>
        <v/>
      </c>
      <c r="L66" s="26">
        <f>IF(OR(A66="",G66&lt;&gt;"Activo"),"",IFERROR(E66/Tablero!$B$6,0))</f>
        <v/>
      </c>
      <c r="M66">
        <f>IF(NOT(ISNUMBER(K66)),"",IF(K66&lt;Parametros!$B$18,"BAJA",IF(K66&lt;Parametros!$B$18*1.25,"AJUSTADA","SANA")))</f>
        <v/>
      </c>
    </row>
    <row r="67">
      <c r="A67" s="19" t="n"/>
      <c r="B67" s="19" t="n"/>
      <c r="C67" s="19" t="n"/>
      <c r="D67" s="19" t="n"/>
      <c r="E67" s="20" t="n"/>
      <c r="F67" s="17" t="n"/>
      <c r="G67" s="19" t="n"/>
      <c r="H67" s="19" t="n"/>
      <c r="I67" s="19" t="n"/>
      <c r="J67" s="25">
        <f>IF(A67="","",SUMIFS(Horas!$D$2:$D$301,Horas!$B$2:$B$301,A67,Horas!$E$2:$E$301,Parametros!$B$1))</f>
        <v/>
      </c>
      <c r="K67" s="24">
        <f>IF(OR(A67="",G67&lt;&gt;"Activo"),"",IF(N(J67)=0,"Sin horas",E67/J67))</f>
        <v/>
      </c>
      <c r="L67" s="26">
        <f>IF(OR(A67="",G67&lt;&gt;"Activo"),"",IFERROR(E67/Tablero!$B$6,0))</f>
        <v/>
      </c>
      <c r="M67">
        <f>IF(NOT(ISNUMBER(K67)),"",IF(K67&lt;Parametros!$B$18,"BAJA",IF(K67&lt;Parametros!$B$18*1.25,"AJUSTADA","SANA")))</f>
        <v/>
      </c>
    </row>
    <row r="68">
      <c r="A68" s="19" t="n"/>
      <c r="B68" s="19" t="n"/>
      <c r="C68" s="19" t="n"/>
      <c r="D68" s="19" t="n"/>
      <c r="E68" s="20" t="n"/>
      <c r="F68" s="17" t="n"/>
      <c r="G68" s="19" t="n"/>
      <c r="H68" s="19" t="n"/>
      <c r="I68" s="19" t="n"/>
      <c r="J68" s="25">
        <f>IF(A68="","",SUMIFS(Horas!$D$2:$D$301,Horas!$B$2:$B$301,A68,Horas!$E$2:$E$301,Parametros!$B$1))</f>
        <v/>
      </c>
      <c r="K68" s="24">
        <f>IF(OR(A68="",G68&lt;&gt;"Activo"),"",IF(N(J68)=0,"Sin horas",E68/J68))</f>
        <v/>
      </c>
      <c r="L68" s="26">
        <f>IF(OR(A68="",G68&lt;&gt;"Activo"),"",IFERROR(E68/Tablero!$B$6,0))</f>
        <v/>
      </c>
      <c r="M68">
        <f>IF(NOT(ISNUMBER(K68)),"",IF(K68&lt;Parametros!$B$18,"BAJA",IF(K68&lt;Parametros!$B$18*1.25,"AJUSTADA","SANA")))</f>
        <v/>
      </c>
    </row>
    <row r="69">
      <c r="A69" s="19" t="n"/>
      <c r="B69" s="19" t="n"/>
      <c r="C69" s="19" t="n"/>
      <c r="D69" s="19" t="n"/>
      <c r="E69" s="20" t="n"/>
      <c r="F69" s="17" t="n"/>
      <c r="G69" s="19" t="n"/>
      <c r="H69" s="19" t="n"/>
      <c r="I69" s="19" t="n"/>
      <c r="J69" s="25">
        <f>IF(A69="","",SUMIFS(Horas!$D$2:$D$301,Horas!$B$2:$B$301,A69,Horas!$E$2:$E$301,Parametros!$B$1))</f>
        <v/>
      </c>
      <c r="K69" s="24">
        <f>IF(OR(A69="",G69&lt;&gt;"Activo"),"",IF(N(J69)=0,"Sin horas",E69/J69))</f>
        <v/>
      </c>
      <c r="L69" s="26">
        <f>IF(OR(A69="",G69&lt;&gt;"Activo"),"",IFERROR(E69/Tablero!$B$6,0))</f>
        <v/>
      </c>
      <c r="M69">
        <f>IF(NOT(ISNUMBER(K69)),"",IF(K69&lt;Parametros!$B$18,"BAJA",IF(K69&lt;Parametros!$B$18*1.25,"AJUSTADA","SANA")))</f>
        <v/>
      </c>
    </row>
    <row r="70">
      <c r="A70" s="19" t="n"/>
      <c r="B70" s="19" t="n"/>
      <c r="C70" s="19" t="n"/>
      <c r="D70" s="19" t="n"/>
      <c r="E70" s="20" t="n"/>
      <c r="F70" s="17" t="n"/>
      <c r="G70" s="19" t="n"/>
      <c r="H70" s="19" t="n"/>
      <c r="I70" s="19" t="n"/>
      <c r="J70" s="25">
        <f>IF(A70="","",SUMIFS(Horas!$D$2:$D$301,Horas!$B$2:$B$301,A70,Horas!$E$2:$E$301,Parametros!$B$1))</f>
        <v/>
      </c>
      <c r="K70" s="24">
        <f>IF(OR(A70="",G70&lt;&gt;"Activo"),"",IF(N(J70)=0,"Sin horas",E70/J70))</f>
        <v/>
      </c>
      <c r="L70" s="26">
        <f>IF(OR(A70="",G70&lt;&gt;"Activo"),"",IFERROR(E70/Tablero!$B$6,0))</f>
        <v/>
      </c>
      <c r="M70">
        <f>IF(NOT(ISNUMBER(K70)),"",IF(K70&lt;Parametros!$B$18,"BAJA",IF(K70&lt;Parametros!$B$18*1.25,"AJUSTADA","SANA")))</f>
        <v/>
      </c>
    </row>
    <row r="71">
      <c r="A71" s="19" t="n"/>
      <c r="B71" s="19" t="n"/>
      <c r="C71" s="19" t="n"/>
      <c r="D71" s="19" t="n"/>
      <c r="E71" s="20" t="n"/>
      <c r="F71" s="17" t="n"/>
      <c r="G71" s="19" t="n"/>
      <c r="H71" s="19" t="n"/>
      <c r="I71" s="19" t="n"/>
      <c r="J71" s="25">
        <f>IF(A71="","",SUMIFS(Horas!$D$2:$D$301,Horas!$B$2:$B$301,A71,Horas!$E$2:$E$301,Parametros!$B$1))</f>
        <v/>
      </c>
      <c r="K71" s="24">
        <f>IF(OR(A71="",G71&lt;&gt;"Activo"),"",IF(N(J71)=0,"Sin horas",E71/J71))</f>
        <v/>
      </c>
      <c r="L71" s="26">
        <f>IF(OR(A71="",G71&lt;&gt;"Activo"),"",IFERROR(E71/Tablero!$B$6,0))</f>
        <v/>
      </c>
      <c r="M71">
        <f>IF(NOT(ISNUMBER(K71)),"",IF(K71&lt;Parametros!$B$18,"BAJA",IF(K71&lt;Parametros!$B$18*1.25,"AJUSTADA","SANA")))</f>
        <v/>
      </c>
    </row>
    <row r="72">
      <c r="A72" s="19" t="n"/>
      <c r="B72" s="19" t="n"/>
      <c r="C72" s="19" t="n"/>
      <c r="D72" s="19" t="n"/>
      <c r="E72" s="20" t="n"/>
      <c r="F72" s="17" t="n"/>
      <c r="G72" s="19" t="n"/>
      <c r="H72" s="19" t="n"/>
      <c r="I72" s="19" t="n"/>
      <c r="J72" s="25">
        <f>IF(A72="","",SUMIFS(Horas!$D$2:$D$301,Horas!$B$2:$B$301,A72,Horas!$E$2:$E$301,Parametros!$B$1))</f>
        <v/>
      </c>
      <c r="K72" s="24">
        <f>IF(OR(A72="",G72&lt;&gt;"Activo"),"",IF(N(J72)=0,"Sin horas",E72/J72))</f>
        <v/>
      </c>
      <c r="L72" s="26">
        <f>IF(OR(A72="",G72&lt;&gt;"Activo"),"",IFERROR(E72/Tablero!$B$6,0))</f>
        <v/>
      </c>
      <c r="M72">
        <f>IF(NOT(ISNUMBER(K72)),"",IF(K72&lt;Parametros!$B$18,"BAJA",IF(K72&lt;Parametros!$B$18*1.25,"AJUSTADA","SANA")))</f>
        <v/>
      </c>
    </row>
    <row r="73">
      <c r="A73" s="19" t="n"/>
      <c r="B73" s="19" t="n"/>
      <c r="C73" s="19" t="n"/>
      <c r="D73" s="19" t="n"/>
      <c r="E73" s="20" t="n"/>
      <c r="F73" s="17" t="n"/>
      <c r="G73" s="19" t="n"/>
      <c r="H73" s="19" t="n"/>
      <c r="I73" s="19" t="n"/>
      <c r="J73" s="25">
        <f>IF(A73="","",SUMIFS(Horas!$D$2:$D$301,Horas!$B$2:$B$301,A73,Horas!$E$2:$E$301,Parametros!$B$1))</f>
        <v/>
      </c>
      <c r="K73" s="24">
        <f>IF(OR(A73="",G73&lt;&gt;"Activo"),"",IF(N(J73)=0,"Sin horas",E73/J73))</f>
        <v/>
      </c>
      <c r="L73" s="26">
        <f>IF(OR(A73="",G73&lt;&gt;"Activo"),"",IFERROR(E73/Tablero!$B$6,0))</f>
        <v/>
      </c>
      <c r="M73">
        <f>IF(NOT(ISNUMBER(K73)),"",IF(K73&lt;Parametros!$B$18,"BAJA",IF(K73&lt;Parametros!$B$18*1.25,"AJUSTADA","SANA")))</f>
        <v/>
      </c>
    </row>
    <row r="74">
      <c r="A74" s="19" t="n"/>
      <c r="B74" s="19" t="n"/>
      <c r="C74" s="19" t="n"/>
      <c r="D74" s="19" t="n"/>
      <c r="E74" s="20" t="n"/>
      <c r="F74" s="17" t="n"/>
      <c r="G74" s="19" t="n"/>
      <c r="H74" s="19" t="n"/>
      <c r="I74" s="19" t="n"/>
      <c r="J74" s="25">
        <f>IF(A74="","",SUMIFS(Horas!$D$2:$D$301,Horas!$B$2:$B$301,A74,Horas!$E$2:$E$301,Parametros!$B$1))</f>
        <v/>
      </c>
      <c r="K74" s="24">
        <f>IF(OR(A74="",G74&lt;&gt;"Activo"),"",IF(N(J74)=0,"Sin horas",E74/J74))</f>
        <v/>
      </c>
      <c r="L74" s="26">
        <f>IF(OR(A74="",G74&lt;&gt;"Activo"),"",IFERROR(E74/Tablero!$B$6,0))</f>
        <v/>
      </c>
      <c r="M74">
        <f>IF(NOT(ISNUMBER(K74)),"",IF(K74&lt;Parametros!$B$18,"BAJA",IF(K74&lt;Parametros!$B$18*1.25,"AJUSTADA","SANA")))</f>
        <v/>
      </c>
    </row>
    <row r="75">
      <c r="A75" s="19" t="n"/>
      <c r="B75" s="19" t="n"/>
      <c r="C75" s="19" t="n"/>
      <c r="D75" s="19" t="n"/>
      <c r="E75" s="20" t="n"/>
      <c r="F75" s="17" t="n"/>
      <c r="G75" s="19" t="n"/>
      <c r="H75" s="19" t="n"/>
      <c r="I75" s="19" t="n"/>
      <c r="J75" s="25">
        <f>IF(A75="","",SUMIFS(Horas!$D$2:$D$301,Horas!$B$2:$B$301,A75,Horas!$E$2:$E$301,Parametros!$B$1))</f>
        <v/>
      </c>
      <c r="K75" s="24">
        <f>IF(OR(A75="",G75&lt;&gt;"Activo"),"",IF(N(J75)=0,"Sin horas",E75/J75))</f>
        <v/>
      </c>
      <c r="L75" s="26">
        <f>IF(OR(A75="",G75&lt;&gt;"Activo"),"",IFERROR(E75/Tablero!$B$6,0))</f>
        <v/>
      </c>
      <c r="M75">
        <f>IF(NOT(ISNUMBER(K75)),"",IF(K75&lt;Parametros!$B$18,"BAJA",IF(K75&lt;Parametros!$B$18*1.25,"AJUSTADA","SANA")))</f>
        <v/>
      </c>
    </row>
    <row r="76">
      <c r="A76" s="19" t="n"/>
      <c r="B76" s="19" t="n"/>
      <c r="C76" s="19" t="n"/>
      <c r="D76" s="19" t="n"/>
      <c r="E76" s="20" t="n"/>
      <c r="F76" s="17" t="n"/>
      <c r="G76" s="19" t="n"/>
      <c r="H76" s="19" t="n"/>
      <c r="I76" s="19" t="n"/>
      <c r="J76" s="25">
        <f>IF(A76="","",SUMIFS(Horas!$D$2:$D$301,Horas!$B$2:$B$301,A76,Horas!$E$2:$E$301,Parametros!$B$1))</f>
        <v/>
      </c>
      <c r="K76" s="24">
        <f>IF(OR(A76="",G76&lt;&gt;"Activo"),"",IF(N(J76)=0,"Sin horas",E76/J76))</f>
        <v/>
      </c>
      <c r="L76" s="26">
        <f>IF(OR(A76="",G76&lt;&gt;"Activo"),"",IFERROR(E76/Tablero!$B$6,0))</f>
        <v/>
      </c>
      <c r="M76">
        <f>IF(NOT(ISNUMBER(K76)),"",IF(K76&lt;Parametros!$B$18,"BAJA",IF(K76&lt;Parametros!$B$18*1.25,"AJUSTADA","SANA")))</f>
        <v/>
      </c>
    </row>
    <row r="77">
      <c r="A77" s="19" t="n"/>
      <c r="B77" s="19" t="n"/>
      <c r="C77" s="19" t="n"/>
      <c r="D77" s="19" t="n"/>
      <c r="E77" s="20" t="n"/>
      <c r="F77" s="17" t="n"/>
      <c r="G77" s="19" t="n"/>
      <c r="H77" s="19" t="n"/>
      <c r="I77" s="19" t="n"/>
      <c r="J77" s="25">
        <f>IF(A77="","",SUMIFS(Horas!$D$2:$D$301,Horas!$B$2:$B$301,A77,Horas!$E$2:$E$301,Parametros!$B$1))</f>
        <v/>
      </c>
      <c r="K77" s="24">
        <f>IF(OR(A77="",G77&lt;&gt;"Activo"),"",IF(N(J77)=0,"Sin horas",E77/J77))</f>
        <v/>
      </c>
      <c r="L77" s="26">
        <f>IF(OR(A77="",G77&lt;&gt;"Activo"),"",IFERROR(E77/Tablero!$B$6,0))</f>
        <v/>
      </c>
      <c r="M77">
        <f>IF(NOT(ISNUMBER(K77)),"",IF(K77&lt;Parametros!$B$18,"BAJA",IF(K77&lt;Parametros!$B$18*1.25,"AJUSTADA","SANA")))</f>
        <v/>
      </c>
    </row>
    <row r="78">
      <c r="A78" s="19" t="n"/>
      <c r="B78" s="19" t="n"/>
      <c r="C78" s="19" t="n"/>
      <c r="D78" s="19" t="n"/>
      <c r="E78" s="20" t="n"/>
      <c r="F78" s="17" t="n"/>
      <c r="G78" s="19" t="n"/>
      <c r="H78" s="19" t="n"/>
      <c r="I78" s="19" t="n"/>
      <c r="J78" s="25">
        <f>IF(A78="","",SUMIFS(Horas!$D$2:$D$301,Horas!$B$2:$B$301,A78,Horas!$E$2:$E$301,Parametros!$B$1))</f>
        <v/>
      </c>
      <c r="K78" s="24">
        <f>IF(OR(A78="",G78&lt;&gt;"Activo"),"",IF(N(J78)=0,"Sin horas",E78/J78))</f>
        <v/>
      </c>
      <c r="L78" s="26">
        <f>IF(OR(A78="",G78&lt;&gt;"Activo"),"",IFERROR(E78/Tablero!$B$6,0))</f>
        <v/>
      </c>
      <c r="M78">
        <f>IF(NOT(ISNUMBER(K78)),"",IF(K78&lt;Parametros!$B$18,"BAJA",IF(K78&lt;Parametros!$B$18*1.25,"AJUSTADA","SANA")))</f>
        <v/>
      </c>
    </row>
    <row r="79">
      <c r="A79" s="19" t="n"/>
      <c r="B79" s="19" t="n"/>
      <c r="C79" s="19" t="n"/>
      <c r="D79" s="19" t="n"/>
      <c r="E79" s="20" t="n"/>
      <c r="F79" s="17" t="n"/>
      <c r="G79" s="19" t="n"/>
      <c r="H79" s="19" t="n"/>
      <c r="I79" s="19" t="n"/>
      <c r="J79" s="25">
        <f>IF(A79="","",SUMIFS(Horas!$D$2:$D$301,Horas!$B$2:$B$301,A79,Horas!$E$2:$E$301,Parametros!$B$1))</f>
        <v/>
      </c>
      <c r="K79" s="24">
        <f>IF(OR(A79="",G79&lt;&gt;"Activo"),"",IF(N(J79)=0,"Sin horas",E79/J79))</f>
        <v/>
      </c>
      <c r="L79" s="26">
        <f>IF(OR(A79="",G79&lt;&gt;"Activo"),"",IFERROR(E79/Tablero!$B$6,0))</f>
        <v/>
      </c>
      <c r="M79">
        <f>IF(NOT(ISNUMBER(K79)),"",IF(K79&lt;Parametros!$B$18,"BAJA",IF(K79&lt;Parametros!$B$18*1.25,"AJUSTADA","SANA")))</f>
        <v/>
      </c>
    </row>
    <row r="80">
      <c r="A80" s="19" t="n"/>
      <c r="B80" s="19" t="n"/>
      <c r="C80" s="19" t="n"/>
      <c r="D80" s="19" t="n"/>
      <c r="E80" s="20" t="n"/>
      <c r="F80" s="17" t="n"/>
      <c r="G80" s="19" t="n"/>
      <c r="H80" s="19" t="n"/>
      <c r="I80" s="19" t="n"/>
      <c r="J80" s="25">
        <f>IF(A80="","",SUMIFS(Horas!$D$2:$D$301,Horas!$B$2:$B$301,A80,Horas!$E$2:$E$301,Parametros!$B$1))</f>
        <v/>
      </c>
      <c r="K80" s="24">
        <f>IF(OR(A80="",G80&lt;&gt;"Activo"),"",IF(N(J80)=0,"Sin horas",E80/J80))</f>
        <v/>
      </c>
      <c r="L80" s="26">
        <f>IF(OR(A80="",G80&lt;&gt;"Activo"),"",IFERROR(E80/Tablero!$B$6,0))</f>
        <v/>
      </c>
      <c r="M80">
        <f>IF(NOT(ISNUMBER(K80)),"",IF(K80&lt;Parametros!$B$18,"BAJA",IF(K80&lt;Parametros!$B$18*1.25,"AJUSTADA","SANA")))</f>
        <v/>
      </c>
    </row>
    <row r="81">
      <c r="A81" s="19" t="n"/>
      <c r="B81" s="19" t="n"/>
      <c r="C81" s="19" t="n"/>
      <c r="D81" s="19" t="n"/>
      <c r="E81" s="20" t="n"/>
      <c r="F81" s="17" t="n"/>
      <c r="G81" s="19" t="n"/>
      <c r="H81" s="19" t="n"/>
      <c r="I81" s="19" t="n"/>
      <c r="J81" s="25">
        <f>IF(A81="","",SUMIFS(Horas!$D$2:$D$301,Horas!$B$2:$B$301,A81,Horas!$E$2:$E$301,Parametros!$B$1))</f>
        <v/>
      </c>
      <c r="K81" s="24">
        <f>IF(OR(A81="",G81&lt;&gt;"Activo"),"",IF(N(J81)=0,"Sin horas",E81/J81))</f>
        <v/>
      </c>
      <c r="L81" s="26">
        <f>IF(OR(A81="",G81&lt;&gt;"Activo"),"",IFERROR(E81/Tablero!$B$6,0))</f>
        <v/>
      </c>
      <c r="M81">
        <f>IF(NOT(ISNUMBER(K81)),"",IF(K81&lt;Parametros!$B$18,"BAJA",IF(K81&lt;Parametros!$B$18*1.25,"AJUSTADA","SANA")))</f>
        <v/>
      </c>
    </row>
    <row r="82">
      <c r="A82" s="19" t="n"/>
      <c r="B82" s="19" t="n"/>
      <c r="C82" s="19" t="n"/>
      <c r="D82" s="19" t="n"/>
      <c r="E82" s="20" t="n"/>
      <c r="F82" s="17" t="n"/>
      <c r="G82" s="19" t="n"/>
      <c r="H82" s="19" t="n"/>
      <c r="I82" s="19" t="n"/>
      <c r="J82" s="25">
        <f>IF(A82="","",SUMIFS(Horas!$D$2:$D$301,Horas!$B$2:$B$301,A82,Horas!$E$2:$E$301,Parametros!$B$1))</f>
        <v/>
      </c>
      <c r="K82" s="24">
        <f>IF(OR(A82="",G82&lt;&gt;"Activo"),"",IF(N(J82)=0,"Sin horas",E82/J82))</f>
        <v/>
      </c>
      <c r="L82" s="26">
        <f>IF(OR(A82="",G82&lt;&gt;"Activo"),"",IFERROR(E82/Tablero!$B$6,0))</f>
        <v/>
      </c>
      <c r="M82">
        <f>IF(NOT(ISNUMBER(K82)),"",IF(K82&lt;Parametros!$B$18,"BAJA",IF(K82&lt;Parametros!$B$18*1.25,"AJUSTADA","SANA")))</f>
        <v/>
      </c>
    </row>
    <row r="83">
      <c r="A83" s="19" t="n"/>
      <c r="B83" s="19" t="n"/>
      <c r="C83" s="19" t="n"/>
      <c r="D83" s="19" t="n"/>
      <c r="E83" s="20" t="n"/>
      <c r="F83" s="17" t="n"/>
      <c r="G83" s="19" t="n"/>
      <c r="H83" s="19" t="n"/>
      <c r="I83" s="19" t="n"/>
      <c r="J83" s="25">
        <f>IF(A83="","",SUMIFS(Horas!$D$2:$D$301,Horas!$B$2:$B$301,A83,Horas!$E$2:$E$301,Parametros!$B$1))</f>
        <v/>
      </c>
      <c r="K83" s="24">
        <f>IF(OR(A83="",G83&lt;&gt;"Activo"),"",IF(N(J83)=0,"Sin horas",E83/J83))</f>
        <v/>
      </c>
      <c r="L83" s="26">
        <f>IF(OR(A83="",G83&lt;&gt;"Activo"),"",IFERROR(E83/Tablero!$B$6,0))</f>
        <v/>
      </c>
      <c r="M83">
        <f>IF(NOT(ISNUMBER(K83)),"",IF(K83&lt;Parametros!$B$18,"BAJA",IF(K83&lt;Parametros!$B$18*1.25,"AJUSTADA","SANA")))</f>
        <v/>
      </c>
    </row>
    <row r="84">
      <c r="A84" s="19" t="n"/>
      <c r="B84" s="19" t="n"/>
      <c r="C84" s="19" t="n"/>
      <c r="D84" s="19" t="n"/>
      <c r="E84" s="20" t="n"/>
      <c r="F84" s="17" t="n"/>
      <c r="G84" s="19" t="n"/>
      <c r="H84" s="19" t="n"/>
      <c r="I84" s="19" t="n"/>
      <c r="J84" s="25">
        <f>IF(A84="","",SUMIFS(Horas!$D$2:$D$301,Horas!$B$2:$B$301,A84,Horas!$E$2:$E$301,Parametros!$B$1))</f>
        <v/>
      </c>
      <c r="K84" s="24">
        <f>IF(OR(A84="",G84&lt;&gt;"Activo"),"",IF(N(J84)=0,"Sin horas",E84/J84))</f>
        <v/>
      </c>
      <c r="L84" s="26">
        <f>IF(OR(A84="",G84&lt;&gt;"Activo"),"",IFERROR(E84/Tablero!$B$6,0))</f>
        <v/>
      </c>
      <c r="M84">
        <f>IF(NOT(ISNUMBER(K84)),"",IF(K84&lt;Parametros!$B$18,"BAJA",IF(K84&lt;Parametros!$B$18*1.25,"AJUSTADA","SANA")))</f>
        <v/>
      </c>
    </row>
    <row r="85">
      <c r="A85" s="19" t="n"/>
      <c r="B85" s="19" t="n"/>
      <c r="C85" s="19" t="n"/>
      <c r="D85" s="19" t="n"/>
      <c r="E85" s="20" t="n"/>
      <c r="F85" s="17" t="n"/>
      <c r="G85" s="19" t="n"/>
      <c r="H85" s="19" t="n"/>
      <c r="I85" s="19" t="n"/>
      <c r="J85" s="25">
        <f>IF(A85="","",SUMIFS(Horas!$D$2:$D$301,Horas!$B$2:$B$301,A85,Horas!$E$2:$E$301,Parametros!$B$1))</f>
        <v/>
      </c>
      <c r="K85" s="24">
        <f>IF(OR(A85="",G85&lt;&gt;"Activo"),"",IF(N(J85)=0,"Sin horas",E85/J85))</f>
        <v/>
      </c>
      <c r="L85" s="26">
        <f>IF(OR(A85="",G85&lt;&gt;"Activo"),"",IFERROR(E85/Tablero!$B$6,0))</f>
        <v/>
      </c>
      <c r="M85">
        <f>IF(NOT(ISNUMBER(K85)),"",IF(K85&lt;Parametros!$B$18,"BAJA",IF(K85&lt;Parametros!$B$18*1.25,"AJUSTADA","SANA")))</f>
        <v/>
      </c>
    </row>
    <row r="86">
      <c r="A86" s="19" t="n"/>
      <c r="B86" s="19" t="n"/>
      <c r="C86" s="19" t="n"/>
      <c r="D86" s="19" t="n"/>
      <c r="E86" s="20" t="n"/>
      <c r="F86" s="17" t="n"/>
      <c r="G86" s="19" t="n"/>
      <c r="H86" s="19" t="n"/>
      <c r="I86" s="19" t="n"/>
      <c r="J86" s="25">
        <f>IF(A86="","",SUMIFS(Horas!$D$2:$D$301,Horas!$B$2:$B$301,A86,Horas!$E$2:$E$301,Parametros!$B$1))</f>
        <v/>
      </c>
      <c r="K86" s="24">
        <f>IF(OR(A86="",G86&lt;&gt;"Activo"),"",IF(N(J86)=0,"Sin horas",E86/J86))</f>
        <v/>
      </c>
      <c r="L86" s="26">
        <f>IF(OR(A86="",G86&lt;&gt;"Activo"),"",IFERROR(E86/Tablero!$B$6,0))</f>
        <v/>
      </c>
      <c r="M86">
        <f>IF(NOT(ISNUMBER(K86)),"",IF(K86&lt;Parametros!$B$18,"BAJA",IF(K86&lt;Parametros!$B$18*1.25,"AJUSTADA","SANA")))</f>
        <v/>
      </c>
    </row>
    <row r="87">
      <c r="A87" s="19" t="n"/>
      <c r="B87" s="19" t="n"/>
      <c r="C87" s="19" t="n"/>
      <c r="D87" s="19" t="n"/>
      <c r="E87" s="20" t="n"/>
      <c r="F87" s="17" t="n"/>
      <c r="G87" s="19" t="n"/>
      <c r="H87" s="19" t="n"/>
      <c r="I87" s="19" t="n"/>
      <c r="J87" s="25">
        <f>IF(A87="","",SUMIFS(Horas!$D$2:$D$301,Horas!$B$2:$B$301,A87,Horas!$E$2:$E$301,Parametros!$B$1))</f>
        <v/>
      </c>
      <c r="K87" s="24">
        <f>IF(OR(A87="",G87&lt;&gt;"Activo"),"",IF(N(J87)=0,"Sin horas",E87/J87))</f>
        <v/>
      </c>
      <c r="L87" s="26">
        <f>IF(OR(A87="",G87&lt;&gt;"Activo"),"",IFERROR(E87/Tablero!$B$6,0))</f>
        <v/>
      </c>
      <c r="M87">
        <f>IF(NOT(ISNUMBER(K87)),"",IF(K87&lt;Parametros!$B$18,"BAJA",IF(K87&lt;Parametros!$B$18*1.25,"AJUSTADA","SANA")))</f>
        <v/>
      </c>
    </row>
    <row r="88">
      <c r="A88" s="19" t="n"/>
      <c r="B88" s="19" t="n"/>
      <c r="C88" s="19" t="n"/>
      <c r="D88" s="19" t="n"/>
      <c r="E88" s="20" t="n"/>
      <c r="F88" s="17" t="n"/>
      <c r="G88" s="19" t="n"/>
      <c r="H88" s="19" t="n"/>
      <c r="I88" s="19" t="n"/>
      <c r="J88" s="25">
        <f>IF(A88="","",SUMIFS(Horas!$D$2:$D$301,Horas!$B$2:$B$301,A88,Horas!$E$2:$E$301,Parametros!$B$1))</f>
        <v/>
      </c>
      <c r="K88" s="24">
        <f>IF(OR(A88="",G88&lt;&gt;"Activo"),"",IF(N(J88)=0,"Sin horas",E88/J88))</f>
        <v/>
      </c>
      <c r="L88" s="26">
        <f>IF(OR(A88="",G88&lt;&gt;"Activo"),"",IFERROR(E88/Tablero!$B$6,0))</f>
        <v/>
      </c>
      <c r="M88">
        <f>IF(NOT(ISNUMBER(K88)),"",IF(K88&lt;Parametros!$B$18,"BAJA",IF(K88&lt;Parametros!$B$18*1.25,"AJUSTADA","SANA")))</f>
        <v/>
      </c>
    </row>
    <row r="89">
      <c r="A89" s="19" t="n"/>
      <c r="B89" s="19" t="n"/>
      <c r="C89" s="19" t="n"/>
      <c r="D89" s="19" t="n"/>
      <c r="E89" s="20" t="n"/>
      <c r="F89" s="17" t="n"/>
      <c r="G89" s="19" t="n"/>
      <c r="H89" s="19" t="n"/>
      <c r="I89" s="19" t="n"/>
      <c r="J89" s="25">
        <f>IF(A89="","",SUMIFS(Horas!$D$2:$D$301,Horas!$B$2:$B$301,A89,Horas!$E$2:$E$301,Parametros!$B$1))</f>
        <v/>
      </c>
      <c r="K89" s="24">
        <f>IF(OR(A89="",G89&lt;&gt;"Activo"),"",IF(N(J89)=0,"Sin horas",E89/J89))</f>
        <v/>
      </c>
      <c r="L89" s="26">
        <f>IF(OR(A89="",G89&lt;&gt;"Activo"),"",IFERROR(E89/Tablero!$B$6,0))</f>
        <v/>
      </c>
      <c r="M89">
        <f>IF(NOT(ISNUMBER(K89)),"",IF(K89&lt;Parametros!$B$18,"BAJA",IF(K89&lt;Parametros!$B$18*1.25,"AJUSTADA","SANA")))</f>
        <v/>
      </c>
    </row>
    <row r="90">
      <c r="A90" s="19" t="n"/>
      <c r="B90" s="19" t="n"/>
      <c r="C90" s="19" t="n"/>
      <c r="D90" s="19" t="n"/>
      <c r="E90" s="20" t="n"/>
      <c r="F90" s="17" t="n"/>
      <c r="G90" s="19" t="n"/>
      <c r="H90" s="19" t="n"/>
      <c r="I90" s="19" t="n"/>
      <c r="J90" s="25">
        <f>IF(A90="","",SUMIFS(Horas!$D$2:$D$301,Horas!$B$2:$B$301,A90,Horas!$E$2:$E$301,Parametros!$B$1))</f>
        <v/>
      </c>
      <c r="K90" s="24">
        <f>IF(OR(A90="",G90&lt;&gt;"Activo"),"",IF(N(J90)=0,"Sin horas",E90/J90))</f>
        <v/>
      </c>
      <c r="L90" s="26">
        <f>IF(OR(A90="",G90&lt;&gt;"Activo"),"",IFERROR(E90/Tablero!$B$6,0))</f>
        <v/>
      </c>
      <c r="M90">
        <f>IF(NOT(ISNUMBER(K90)),"",IF(K90&lt;Parametros!$B$18,"BAJA",IF(K90&lt;Parametros!$B$18*1.25,"AJUSTADA","SANA")))</f>
        <v/>
      </c>
    </row>
    <row r="91">
      <c r="A91" s="19" t="n"/>
      <c r="B91" s="19" t="n"/>
      <c r="C91" s="19" t="n"/>
      <c r="D91" s="19" t="n"/>
      <c r="E91" s="20" t="n"/>
      <c r="F91" s="17" t="n"/>
      <c r="G91" s="19" t="n"/>
      <c r="H91" s="19" t="n"/>
      <c r="I91" s="19" t="n"/>
      <c r="J91" s="25">
        <f>IF(A91="","",SUMIFS(Horas!$D$2:$D$301,Horas!$B$2:$B$301,A91,Horas!$E$2:$E$301,Parametros!$B$1))</f>
        <v/>
      </c>
      <c r="K91" s="24">
        <f>IF(OR(A91="",G91&lt;&gt;"Activo"),"",IF(N(J91)=0,"Sin horas",E91/J91))</f>
        <v/>
      </c>
      <c r="L91" s="26">
        <f>IF(OR(A91="",G91&lt;&gt;"Activo"),"",IFERROR(E91/Tablero!$B$6,0))</f>
        <v/>
      </c>
      <c r="M91">
        <f>IF(NOT(ISNUMBER(K91)),"",IF(K91&lt;Parametros!$B$18,"BAJA",IF(K91&lt;Parametros!$B$18*1.25,"AJUSTADA","SANA")))</f>
        <v/>
      </c>
    </row>
    <row r="92">
      <c r="A92" s="19" t="n"/>
      <c r="B92" s="19" t="n"/>
      <c r="C92" s="19" t="n"/>
      <c r="D92" s="19" t="n"/>
      <c r="E92" s="20" t="n"/>
      <c r="F92" s="17" t="n"/>
      <c r="G92" s="19" t="n"/>
      <c r="H92" s="19" t="n"/>
      <c r="I92" s="19" t="n"/>
      <c r="J92" s="25">
        <f>IF(A92="","",SUMIFS(Horas!$D$2:$D$301,Horas!$B$2:$B$301,A92,Horas!$E$2:$E$301,Parametros!$B$1))</f>
        <v/>
      </c>
      <c r="K92" s="24">
        <f>IF(OR(A92="",G92&lt;&gt;"Activo"),"",IF(N(J92)=0,"Sin horas",E92/J92))</f>
        <v/>
      </c>
      <c r="L92" s="26">
        <f>IF(OR(A92="",G92&lt;&gt;"Activo"),"",IFERROR(E92/Tablero!$B$6,0))</f>
        <v/>
      </c>
      <c r="M92">
        <f>IF(NOT(ISNUMBER(K92)),"",IF(K92&lt;Parametros!$B$18,"BAJA",IF(K92&lt;Parametros!$B$18*1.25,"AJUSTADA","SANA")))</f>
        <v/>
      </c>
    </row>
    <row r="93">
      <c r="A93" s="19" t="n"/>
      <c r="B93" s="19" t="n"/>
      <c r="C93" s="19" t="n"/>
      <c r="D93" s="19" t="n"/>
      <c r="E93" s="20" t="n"/>
      <c r="F93" s="17" t="n"/>
      <c r="G93" s="19" t="n"/>
      <c r="H93" s="19" t="n"/>
      <c r="I93" s="19" t="n"/>
      <c r="J93" s="25">
        <f>IF(A93="","",SUMIFS(Horas!$D$2:$D$301,Horas!$B$2:$B$301,A93,Horas!$E$2:$E$301,Parametros!$B$1))</f>
        <v/>
      </c>
      <c r="K93" s="24">
        <f>IF(OR(A93="",G93&lt;&gt;"Activo"),"",IF(N(J93)=0,"Sin horas",E93/J93))</f>
        <v/>
      </c>
      <c r="L93" s="26">
        <f>IF(OR(A93="",G93&lt;&gt;"Activo"),"",IFERROR(E93/Tablero!$B$6,0))</f>
        <v/>
      </c>
      <c r="M93">
        <f>IF(NOT(ISNUMBER(K93)),"",IF(K93&lt;Parametros!$B$18,"BAJA",IF(K93&lt;Parametros!$B$18*1.25,"AJUSTADA","SANA")))</f>
        <v/>
      </c>
    </row>
    <row r="94">
      <c r="A94" s="19" t="n"/>
      <c r="B94" s="19" t="n"/>
      <c r="C94" s="19" t="n"/>
      <c r="D94" s="19" t="n"/>
      <c r="E94" s="20" t="n"/>
      <c r="F94" s="17" t="n"/>
      <c r="G94" s="19" t="n"/>
      <c r="H94" s="19" t="n"/>
      <c r="I94" s="19" t="n"/>
      <c r="J94" s="25">
        <f>IF(A94="","",SUMIFS(Horas!$D$2:$D$301,Horas!$B$2:$B$301,A94,Horas!$E$2:$E$301,Parametros!$B$1))</f>
        <v/>
      </c>
      <c r="K94" s="24">
        <f>IF(OR(A94="",G94&lt;&gt;"Activo"),"",IF(N(J94)=0,"Sin horas",E94/J94))</f>
        <v/>
      </c>
      <c r="L94" s="26">
        <f>IF(OR(A94="",G94&lt;&gt;"Activo"),"",IFERROR(E94/Tablero!$B$6,0))</f>
        <v/>
      </c>
      <c r="M94">
        <f>IF(NOT(ISNUMBER(K94)),"",IF(K94&lt;Parametros!$B$18,"BAJA",IF(K94&lt;Parametros!$B$18*1.25,"AJUSTADA","SANA")))</f>
        <v/>
      </c>
    </row>
    <row r="95">
      <c r="A95" s="19" t="n"/>
      <c r="B95" s="19" t="n"/>
      <c r="C95" s="19" t="n"/>
      <c r="D95" s="19" t="n"/>
      <c r="E95" s="20" t="n"/>
      <c r="F95" s="17" t="n"/>
      <c r="G95" s="19" t="n"/>
      <c r="H95" s="19" t="n"/>
      <c r="I95" s="19" t="n"/>
      <c r="J95" s="25">
        <f>IF(A95="","",SUMIFS(Horas!$D$2:$D$301,Horas!$B$2:$B$301,A95,Horas!$E$2:$E$301,Parametros!$B$1))</f>
        <v/>
      </c>
      <c r="K95" s="24">
        <f>IF(OR(A95="",G95&lt;&gt;"Activo"),"",IF(N(J95)=0,"Sin horas",E95/J95))</f>
        <v/>
      </c>
      <c r="L95" s="26">
        <f>IF(OR(A95="",G95&lt;&gt;"Activo"),"",IFERROR(E95/Tablero!$B$6,0))</f>
        <v/>
      </c>
      <c r="M95">
        <f>IF(NOT(ISNUMBER(K95)),"",IF(K95&lt;Parametros!$B$18,"BAJA",IF(K95&lt;Parametros!$B$18*1.25,"AJUSTADA","SANA")))</f>
        <v/>
      </c>
    </row>
    <row r="96">
      <c r="A96" s="19" t="n"/>
      <c r="B96" s="19" t="n"/>
      <c r="C96" s="19" t="n"/>
      <c r="D96" s="19" t="n"/>
      <c r="E96" s="20" t="n"/>
      <c r="F96" s="17" t="n"/>
      <c r="G96" s="19" t="n"/>
      <c r="H96" s="19" t="n"/>
      <c r="I96" s="19" t="n"/>
      <c r="J96" s="25">
        <f>IF(A96="","",SUMIFS(Horas!$D$2:$D$301,Horas!$B$2:$B$301,A96,Horas!$E$2:$E$301,Parametros!$B$1))</f>
        <v/>
      </c>
      <c r="K96" s="24">
        <f>IF(OR(A96="",G96&lt;&gt;"Activo"),"",IF(N(J96)=0,"Sin horas",E96/J96))</f>
        <v/>
      </c>
      <c r="L96" s="26">
        <f>IF(OR(A96="",G96&lt;&gt;"Activo"),"",IFERROR(E96/Tablero!$B$6,0))</f>
        <v/>
      </c>
      <c r="M96">
        <f>IF(NOT(ISNUMBER(K96)),"",IF(K96&lt;Parametros!$B$18,"BAJA",IF(K96&lt;Parametros!$B$18*1.25,"AJUSTADA","SANA")))</f>
        <v/>
      </c>
    </row>
    <row r="97">
      <c r="A97" s="19" t="n"/>
      <c r="B97" s="19" t="n"/>
      <c r="C97" s="19" t="n"/>
      <c r="D97" s="19" t="n"/>
      <c r="E97" s="20" t="n"/>
      <c r="F97" s="17" t="n"/>
      <c r="G97" s="19" t="n"/>
      <c r="H97" s="19" t="n"/>
      <c r="I97" s="19" t="n"/>
      <c r="J97" s="25">
        <f>IF(A97="","",SUMIFS(Horas!$D$2:$D$301,Horas!$B$2:$B$301,A97,Horas!$E$2:$E$301,Parametros!$B$1))</f>
        <v/>
      </c>
      <c r="K97" s="24">
        <f>IF(OR(A97="",G97&lt;&gt;"Activo"),"",IF(N(J97)=0,"Sin horas",E97/J97))</f>
        <v/>
      </c>
      <c r="L97" s="26">
        <f>IF(OR(A97="",G97&lt;&gt;"Activo"),"",IFERROR(E97/Tablero!$B$6,0))</f>
        <v/>
      </c>
      <c r="M97">
        <f>IF(NOT(ISNUMBER(K97)),"",IF(K97&lt;Parametros!$B$18,"BAJA",IF(K97&lt;Parametros!$B$18*1.25,"AJUSTADA","SANA")))</f>
        <v/>
      </c>
    </row>
    <row r="98">
      <c r="A98" s="19" t="n"/>
      <c r="B98" s="19" t="n"/>
      <c r="C98" s="19" t="n"/>
      <c r="D98" s="19" t="n"/>
      <c r="E98" s="20" t="n"/>
      <c r="F98" s="17" t="n"/>
      <c r="G98" s="19" t="n"/>
      <c r="H98" s="19" t="n"/>
      <c r="I98" s="19" t="n"/>
      <c r="J98" s="25">
        <f>IF(A98="","",SUMIFS(Horas!$D$2:$D$301,Horas!$B$2:$B$301,A98,Horas!$E$2:$E$301,Parametros!$B$1))</f>
        <v/>
      </c>
      <c r="K98" s="24">
        <f>IF(OR(A98="",G98&lt;&gt;"Activo"),"",IF(N(J98)=0,"Sin horas",E98/J98))</f>
        <v/>
      </c>
      <c r="L98" s="26">
        <f>IF(OR(A98="",G98&lt;&gt;"Activo"),"",IFERROR(E98/Tablero!$B$6,0))</f>
        <v/>
      </c>
      <c r="M98">
        <f>IF(NOT(ISNUMBER(K98)),"",IF(K98&lt;Parametros!$B$18,"BAJA",IF(K98&lt;Parametros!$B$18*1.25,"AJUSTADA","SANA")))</f>
        <v/>
      </c>
    </row>
    <row r="99">
      <c r="A99" s="19" t="n"/>
      <c r="B99" s="19" t="n"/>
      <c r="C99" s="19" t="n"/>
      <c r="D99" s="19" t="n"/>
      <c r="E99" s="20" t="n"/>
      <c r="F99" s="17" t="n"/>
      <c r="G99" s="19" t="n"/>
      <c r="H99" s="19" t="n"/>
      <c r="I99" s="19" t="n"/>
      <c r="J99" s="25">
        <f>IF(A99="","",SUMIFS(Horas!$D$2:$D$301,Horas!$B$2:$B$301,A99,Horas!$E$2:$E$301,Parametros!$B$1))</f>
        <v/>
      </c>
      <c r="K99" s="24">
        <f>IF(OR(A99="",G99&lt;&gt;"Activo"),"",IF(N(J99)=0,"Sin horas",E99/J99))</f>
        <v/>
      </c>
      <c r="L99" s="26">
        <f>IF(OR(A99="",G99&lt;&gt;"Activo"),"",IFERROR(E99/Tablero!$B$6,0))</f>
        <v/>
      </c>
      <c r="M99">
        <f>IF(NOT(ISNUMBER(K99)),"",IF(K99&lt;Parametros!$B$18,"BAJA",IF(K99&lt;Parametros!$B$18*1.25,"AJUSTADA","SANA")))</f>
        <v/>
      </c>
    </row>
    <row r="100">
      <c r="A100" s="19" t="n"/>
      <c r="B100" s="19" t="n"/>
      <c r="C100" s="19" t="n"/>
      <c r="D100" s="19" t="n"/>
      <c r="E100" s="20" t="n"/>
      <c r="F100" s="17" t="n"/>
      <c r="G100" s="19" t="n"/>
      <c r="H100" s="19" t="n"/>
      <c r="I100" s="19" t="n"/>
      <c r="J100" s="25">
        <f>IF(A100="","",SUMIFS(Horas!$D$2:$D$301,Horas!$B$2:$B$301,A100,Horas!$E$2:$E$301,Parametros!$B$1))</f>
        <v/>
      </c>
      <c r="K100" s="24">
        <f>IF(OR(A100="",G100&lt;&gt;"Activo"),"",IF(N(J100)=0,"Sin horas",E100/J100))</f>
        <v/>
      </c>
      <c r="L100" s="26">
        <f>IF(OR(A100="",G100&lt;&gt;"Activo"),"",IFERROR(E100/Tablero!$B$6,0))</f>
        <v/>
      </c>
      <c r="M100">
        <f>IF(NOT(ISNUMBER(K100)),"",IF(K100&lt;Parametros!$B$18,"BAJA",IF(K100&lt;Parametros!$B$18*1.25,"AJUSTADA","SANA")))</f>
        <v/>
      </c>
    </row>
    <row r="101">
      <c r="A101" s="19" t="n"/>
      <c r="B101" s="19" t="n"/>
      <c r="C101" s="19" t="n"/>
      <c r="D101" s="19" t="n"/>
      <c r="E101" s="20" t="n"/>
      <c r="F101" s="17" t="n"/>
      <c r="G101" s="19" t="n"/>
      <c r="H101" s="19" t="n"/>
      <c r="I101" s="19" t="n"/>
      <c r="J101" s="25">
        <f>IF(A101="","",SUMIFS(Horas!$D$2:$D$301,Horas!$B$2:$B$301,A101,Horas!$E$2:$E$301,Parametros!$B$1))</f>
        <v/>
      </c>
      <c r="K101" s="24">
        <f>IF(OR(A101="",G101&lt;&gt;"Activo"),"",IF(N(J101)=0,"Sin horas",E101/J101))</f>
        <v/>
      </c>
      <c r="L101" s="26">
        <f>IF(OR(A101="",G101&lt;&gt;"Activo"),"",IFERROR(E101/Tablero!$B$6,0))</f>
        <v/>
      </c>
      <c r="M101">
        <f>IF(NOT(ISNUMBER(K101)),"",IF(K101&lt;Parametros!$B$18,"BAJA",IF(K101&lt;Parametros!$B$18*1.25,"AJUSTADA","SANA")))</f>
        <v/>
      </c>
    </row>
    <row r="102">
      <c r="A102" s="19" t="n"/>
      <c r="B102" s="19" t="n"/>
      <c r="C102" s="19" t="n"/>
      <c r="D102" s="19" t="n"/>
      <c r="E102" s="20" t="n"/>
      <c r="F102" s="17" t="n"/>
      <c r="G102" s="19" t="n"/>
      <c r="H102" s="19" t="n"/>
      <c r="I102" s="19" t="n"/>
      <c r="J102" s="25">
        <f>IF(A102="","",SUMIFS(Horas!$D$2:$D$301,Horas!$B$2:$B$301,A102,Horas!$E$2:$E$301,Parametros!$B$1))</f>
        <v/>
      </c>
      <c r="K102" s="24">
        <f>IF(OR(A102="",G102&lt;&gt;"Activo"),"",IF(N(J102)=0,"Sin horas",E102/J102))</f>
        <v/>
      </c>
      <c r="L102" s="26">
        <f>IF(OR(A102="",G102&lt;&gt;"Activo"),"",IFERROR(E102/Tablero!$B$6,0))</f>
        <v/>
      </c>
      <c r="M102">
        <f>IF(NOT(ISNUMBER(K102)),"",IF(K102&lt;Parametros!$B$18,"BAJA",IF(K102&lt;Parametros!$B$18*1.25,"AJUSTADA","SANA")))</f>
        <v/>
      </c>
    </row>
    <row r="103">
      <c r="A103" s="19" t="n"/>
      <c r="B103" s="19" t="n"/>
      <c r="C103" s="19" t="n"/>
      <c r="D103" s="19" t="n"/>
      <c r="E103" s="20" t="n"/>
      <c r="F103" s="17" t="n"/>
      <c r="G103" s="19" t="n"/>
      <c r="H103" s="19" t="n"/>
      <c r="I103" s="19" t="n"/>
      <c r="J103" s="25">
        <f>IF(A103="","",SUMIFS(Horas!$D$2:$D$301,Horas!$B$2:$B$301,A103,Horas!$E$2:$E$301,Parametros!$B$1))</f>
        <v/>
      </c>
      <c r="K103" s="24">
        <f>IF(OR(A103="",G103&lt;&gt;"Activo"),"",IF(N(J103)=0,"Sin horas",E103/J103))</f>
        <v/>
      </c>
      <c r="L103" s="26">
        <f>IF(OR(A103="",G103&lt;&gt;"Activo"),"",IFERROR(E103/Tablero!$B$6,0))</f>
        <v/>
      </c>
      <c r="M103">
        <f>IF(NOT(ISNUMBER(K103)),"",IF(K103&lt;Parametros!$B$18,"BAJA",IF(K103&lt;Parametros!$B$18*1.25,"AJUSTADA","SANA")))</f>
        <v/>
      </c>
    </row>
    <row r="104">
      <c r="A104" s="19" t="n"/>
      <c r="B104" s="19" t="n"/>
      <c r="C104" s="19" t="n"/>
      <c r="D104" s="19" t="n"/>
      <c r="E104" s="20" t="n"/>
      <c r="F104" s="17" t="n"/>
      <c r="G104" s="19" t="n"/>
      <c r="H104" s="19" t="n"/>
      <c r="I104" s="19" t="n"/>
      <c r="J104" s="25">
        <f>IF(A104="","",SUMIFS(Horas!$D$2:$D$301,Horas!$B$2:$B$301,A104,Horas!$E$2:$E$301,Parametros!$B$1))</f>
        <v/>
      </c>
      <c r="K104" s="24">
        <f>IF(OR(A104="",G104&lt;&gt;"Activo"),"",IF(N(J104)=0,"Sin horas",E104/J104))</f>
        <v/>
      </c>
      <c r="L104" s="26">
        <f>IF(OR(A104="",G104&lt;&gt;"Activo"),"",IFERROR(E104/Tablero!$B$6,0))</f>
        <v/>
      </c>
      <c r="M104">
        <f>IF(NOT(ISNUMBER(K104)),"",IF(K104&lt;Parametros!$B$18,"BAJA",IF(K104&lt;Parametros!$B$18*1.25,"AJUSTADA","SANA")))</f>
        <v/>
      </c>
    </row>
    <row r="105">
      <c r="A105" s="19" t="n"/>
      <c r="B105" s="19" t="n"/>
      <c r="C105" s="19" t="n"/>
      <c r="D105" s="19" t="n"/>
      <c r="E105" s="20" t="n"/>
      <c r="F105" s="17" t="n"/>
      <c r="G105" s="19" t="n"/>
      <c r="H105" s="19" t="n"/>
      <c r="I105" s="19" t="n"/>
      <c r="J105" s="25">
        <f>IF(A105="","",SUMIFS(Horas!$D$2:$D$301,Horas!$B$2:$B$301,A105,Horas!$E$2:$E$301,Parametros!$B$1))</f>
        <v/>
      </c>
      <c r="K105" s="24">
        <f>IF(OR(A105="",G105&lt;&gt;"Activo"),"",IF(N(J105)=0,"Sin horas",E105/J105))</f>
        <v/>
      </c>
      <c r="L105" s="26">
        <f>IF(OR(A105="",G105&lt;&gt;"Activo"),"",IFERROR(E105/Tablero!$B$6,0))</f>
        <v/>
      </c>
      <c r="M105">
        <f>IF(NOT(ISNUMBER(K105)),"",IF(K105&lt;Parametros!$B$18,"BAJA",IF(K105&lt;Parametros!$B$18*1.25,"AJUSTADA","SANA")))</f>
        <v/>
      </c>
    </row>
    <row r="106">
      <c r="A106" s="19" t="n"/>
      <c r="B106" s="19" t="n"/>
      <c r="C106" s="19" t="n"/>
      <c r="D106" s="19" t="n"/>
      <c r="E106" s="20" t="n"/>
      <c r="F106" s="17" t="n"/>
      <c r="G106" s="19" t="n"/>
      <c r="H106" s="19" t="n"/>
      <c r="I106" s="19" t="n"/>
      <c r="J106" s="25">
        <f>IF(A106="","",SUMIFS(Horas!$D$2:$D$301,Horas!$B$2:$B$301,A106,Horas!$E$2:$E$301,Parametros!$B$1))</f>
        <v/>
      </c>
      <c r="K106" s="24">
        <f>IF(OR(A106="",G106&lt;&gt;"Activo"),"",IF(N(J106)=0,"Sin horas",E106/J106))</f>
        <v/>
      </c>
      <c r="L106" s="26">
        <f>IF(OR(A106="",G106&lt;&gt;"Activo"),"",IFERROR(E106/Tablero!$B$6,0))</f>
        <v/>
      </c>
      <c r="M106">
        <f>IF(NOT(ISNUMBER(K106)),"",IF(K106&lt;Parametros!$B$18,"BAJA",IF(K106&lt;Parametros!$B$18*1.25,"AJUSTADA","SANA")))</f>
        <v/>
      </c>
    </row>
    <row r="107">
      <c r="A107" s="19" t="n"/>
      <c r="B107" s="19" t="n"/>
      <c r="C107" s="19" t="n"/>
      <c r="D107" s="19" t="n"/>
      <c r="E107" s="20" t="n"/>
      <c r="F107" s="17" t="n"/>
      <c r="G107" s="19" t="n"/>
      <c r="H107" s="19" t="n"/>
      <c r="I107" s="19" t="n"/>
      <c r="J107" s="25">
        <f>IF(A107="","",SUMIFS(Horas!$D$2:$D$301,Horas!$B$2:$B$301,A107,Horas!$E$2:$E$301,Parametros!$B$1))</f>
        <v/>
      </c>
      <c r="K107" s="24">
        <f>IF(OR(A107="",G107&lt;&gt;"Activo"),"",IF(N(J107)=0,"Sin horas",E107/J107))</f>
        <v/>
      </c>
      <c r="L107" s="26">
        <f>IF(OR(A107="",G107&lt;&gt;"Activo"),"",IFERROR(E107/Tablero!$B$6,0))</f>
        <v/>
      </c>
      <c r="M107">
        <f>IF(NOT(ISNUMBER(K107)),"",IF(K107&lt;Parametros!$B$18,"BAJA",IF(K107&lt;Parametros!$B$18*1.25,"AJUSTADA","SANA")))</f>
        <v/>
      </c>
    </row>
    <row r="108">
      <c r="A108" s="19" t="n"/>
      <c r="B108" s="19" t="n"/>
      <c r="C108" s="19" t="n"/>
      <c r="D108" s="19" t="n"/>
      <c r="E108" s="20" t="n"/>
      <c r="F108" s="17" t="n"/>
      <c r="G108" s="19" t="n"/>
      <c r="H108" s="19" t="n"/>
      <c r="I108" s="19" t="n"/>
      <c r="J108" s="25">
        <f>IF(A108="","",SUMIFS(Horas!$D$2:$D$301,Horas!$B$2:$B$301,A108,Horas!$E$2:$E$301,Parametros!$B$1))</f>
        <v/>
      </c>
      <c r="K108" s="24">
        <f>IF(OR(A108="",G108&lt;&gt;"Activo"),"",IF(N(J108)=0,"Sin horas",E108/J108))</f>
        <v/>
      </c>
      <c r="L108" s="26">
        <f>IF(OR(A108="",G108&lt;&gt;"Activo"),"",IFERROR(E108/Tablero!$B$6,0))</f>
        <v/>
      </c>
      <c r="M108">
        <f>IF(NOT(ISNUMBER(K108)),"",IF(K108&lt;Parametros!$B$18,"BAJA",IF(K108&lt;Parametros!$B$18*1.25,"AJUSTADA","SANA")))</f>
        <v/>
      </c>
    </row>
    <row r="109">
      <c r="A109" s="19" t="n"/>
      <c r="B109" s="19" t="n"/>
      <c r="C109" s="19" t="n"/>
      <c r="D109" s="19" t="n"/>
      <c r="E109" s="20" t="n"/>
      <c r="F109" s="17" t="n"/>
      <c r="G109" s="19" t="n"/>
      <c r="H109" s="19" t="n"/>
      <c r="I109" s="19" t="n"/>
      <c r="J109" s="25">
        <f>IF(A109="","",SUMIFS(Horas!$D$2:$D$301,Horas!$B$2:$B$301,A109,Horas!$E$2:$E$301,Parametros!$B$1))</f>
        <v/>
      </c>
      <c r="K109" s="24">
        <f>IF(OR(A109="",G109&lt;&gt;"Activo"),"",IF(N(J109)=0,"Sin horas",E109/J109))</f>
        <v/>
      </c>
      <c r="L109" s="26">
        <f>IF(OR(A109="",G109&lt;&gt;"Activo"),"",IFERROR(E109/Tablero!$B$6,0))</f>
        <v/>
      </c>
      <c r="M109">
        <f>IF(NOT(ISNUMBER(K109)),"",IF(K109&lt;Parametros!$B$18,"BAJA",IF(K109&lt;Parametros!$B$18*1.25,"AJUSTADA","SANA")))</f>
        <v/>
      </c>
    </row>
    <row r="110">
      <c r="A110" s="19" t="n"/>
      <c r="B110" s="19" t="n"/>
      <c r="C110" s="19" t="n"/>
      <c r="D110" s="19" t="n"/>
      <c r="E110" s="20" t="n"/>
      <c r="F110" s="17" t="n"/>
      <c r="G110" s="19" t="n"/>
      <c r="H110" s="19" t="n"/>
      <c r="I110" s="19" t="n"/>
      <c r="J110" s="25">
        <f>IF(A110="","",SUMIFS(Horas!$D$2:$D$301,Horas!$B$2:$B$301,A110,Horas!$E$2:$E$301,Parametros!$B$1))</f>
        <v/>
      </c>
      <c r="K110" s="24">
        <f>IF(OR(A110="",G110&lt;&gt;"Activo"),"",IF(N(J110)=0,"Sin horas",E110/J110))</f>
        <v/>
      </c>
      <c r="L110" s="26">
        <f>IF(OR(A110="",G110&lt;&gt;"Activo"),"",IFERROR(E110/Tablero!$B$6,0))</f>
        <v/>
      </c>
      <c r="M110">
        <f>IF(NOT(ISNUMBER(K110)),"",IF(K110&lt;Parametros!$B$18,"BAJA",IF(K110&lt;Parametros!$B$18*1.25,"AJUSTADA","SANA")))</f>
        <v/>
      </c>
    </row>
    <row r="111">
      <c r="A111" s="19" t="n"/>
      <c r="B111" s="19" t="n"/>
      <c r="C111" s="19" t="n"/>
      <c r="D111" s="19" t="n"/>
      <c r="E111" s="20" t="n"/>
      <c r="F111" s="17" t="n"/>
      <c r="G111" s="19" t="n"/>
      <c r="H111" s="19" t="n"/>
      <c r="I111" s="19" t="n"/>
      <c r="J111" s="25">
        <f>IF(A111="","",SUMIFS(Horas!$D$2:$D$301,Horas!$B$2:$B$301,A111,Horas!$E$2:$E$301,Parametros!$B$1))</f>
        <v/>
      </c>
      <c r="K111" s="24">
        <f>IF(OR(A111="",G111&lt;&gt;"Activo"),"",IF(N(J111)=0,"Sin horas",E111/J111))</f>
        <v/>
      </c>
      <c r="L111" s="26">
        <f>IF(OR(A111="",G111&lt;&gt;"Activo"),"",IFERROR(E111/Tablero!$B$6,0))</f>
        <v/>
      </c>
      <c r="M111">
        <f>IF(NOT(ISNUMBER(K111)),"",IF(K111&lt;Parametros!$B$18,"BAJA",IF(K111&lt;Parametros!$B$18*1.25,"AJUSTADA","SANA")))</f>
        <v/>
      </c>
    </row>
    <row r="112">
      <c r="A112" s="19" t="n"/>
      <c r="B112" s="19" t="n"/>
      <c r="C112" s="19" t="n"/>
      <c r="D112" s="19" t="n"/>
      <c r="E112" s="20" t="n"/>
      <c r="F112" s="17" t="n"/>
      <c r="G112" s="19" t="n"/>
      <c r="H112" s="19" t="n"/>
      <c r="I112" s="19" t="n"/>
      <c r="J112" s="25">
        <f>IF(A112="","",SUMIFS(Horas!$D$2:$D$301,Horas!$B$2:$B$301,A112,Horas!$E$2:$E$301,Parametros!$B$1))</f>
        <v/>
      </c>
      <c r="K112" s="24">
        <f>IF(OR(A112="",G112&lt;&gt;"Activo"),"",IF(N(J112)=0,"Sin horas",E112/J112))</f>
        <v/>
      </c>
      <c r="L112" s="26">
        <f>IF(OR(A112="",G112&lt;&gt;"Activo"),"",IFERROR(E112/Tablero!$B$6,0))</f>
        <v/>
      </c>
      <c r="M112">
        <f>IF(NOT(ISNUMBER(K112)),"",IF(K112&lt;Parametros!$B$18,"BAJA",IF(K112&lt;Parametros!$B$18*1.25,"AJUSTADA","SANA")))</f>
        <v/>
      </c>
    </row>
    <row r="113">
      <c r="A113" s="19" t="n"/>
      <c r="B113" s="19" t="n"/>
      <c r="C113" s="19" t="n"/>
      <c r="D113" s="19" t="n"/>
      <c r="E113" s="20" t="n"/>
      <c r="F113" s="17" t="n"/>
      <c r="G113" s="19" t="n"/>
      <c r="H113" s="19" t="n"/>
      <c r="I113" s="19" t="n"/>
      <c r="J113" s="25">
        <f>IF(A113="","",SUMIFS(Horas!$D$2:$D$301,Horas!$B$2:$B$301,A113,Horas!$E$2:$E$301,Parametros!$B$1))</f>
        <v/>
      </c>
      <c r="K113" s="24">
        <f>IF(OR(A113="",G113&lt;&gt;"Activo"),"",IF(N(J113)=0,"Sin horas",E113/J113))</f>
        <v/>
      </c>
      <c r="L113" s="26">
        <f>IF(OR(A113="",G113&lt;&gt;"Activo"),"",IFERROR(E113/Tablero!$B$6,0))</f>
        <v/>
      </c>
      <c r="M113">
        <f>IF(NOT(ISNUMBER(K113)),"",IF(K113&lt;Parametros!$B$18,"BAJA",IF(K113&lt;Parametros!$B$18*1.25,"AJUSTADA","SANA")))</f>
        <v/>
      </c>
    </row>
    <row r="114">
      <c r="A114" s="19" t="n"/>
      <c r="B114" s="19" t="n"/>
      <c r="C114" s="19" t="n"/>
      <c r="D114" s="19" t="n"/>
      <c r="E114" s="20" t="n"/>
      <c r="F114" s="17" t="n"/>
      <c r="G114" s="19" t="n"/>
      <c r="H114" s="19" t="n"/>
      <c r="I114" s="19" t="n"/>
      <c r="J114" s="25">
        <f>IF(A114="","",SUMIFS(Horas!$D$2:$D$301,Horas!$B$2:$B$301,A114,Horas!$E$2:$E$301,Parametros!$B$1))</f>
        <v/>
      </c>
      <c r="K114" s="24">
        <f>IF(OR(A114="",G114&lt;&gt;"Activo"),"",IF(N(J114)=0,"Sin horas",E114/J114))</f>
        <v/>
      </c>
      <c r="L114" s="26">
        <f>IF(OR(A114="",G114&lt;&gt;"Activo"),"",IFERROR(E114/Tablero!$B$6,0))</f>
        <v/>
      </c>
      <c r="M114">
        <f>IF(NOT(ISNUMBER(K114)),"",IF(K114&lt;Parametros!$B$18,"BAJA",IF(K114&lt;Parametros!$B$18*1.25,"AJUSTADA","SANA")))</f>
        <v/>
      </c>
    </row>
    <row r="115">
      <c r="A115" s="19" t="n"/>
      <c r="B115" s="19" t="n"/>
      <c r="C115" s="19" t="n"/>
      <c r="D115" s="19" t="n"/>
      <c r="E115" s="20" t="n"/>
      <c r="F115" s="17" t="n"/>
      <c r="G115" s="19" t="n"/>
      <c r="H115" s="19" t="n"/>
      <c r="I115" s="19" t="n"/>
      <c r="J115" s="25">
        <f>IF(A115="","",SUMIFS(Horas!$D$2:$D$301,Horas!$B$2:$B$301,A115,Horas!$E$2:$E$301,Parametros!$B$1))</f>
        <v/>
      </c>
      <c r="K115" s="24">
        <f>IF(OR(A115="",G115&lt;&gt;"Activo"),"",IF(N(J115)=0,"Sin horas",E115/J115))</f>
        <v/>
      </c>
      <c r="L115" s="26">
        <f>IF(OR(A115="",G115&lt;&gt;"Activo"),"",IFERROR(E115/Tablero!$B$6,0))</f>
        <v/>
      </c>
      <c r="M115">
        <f>IF(NOT(ISNUMBER(K115)),"",IF(K115&lt;Parametros!$B$18,"BAJA",IF(K115&lt;Parametros!$B$18*1.25,"AJUSTADA","SANA")))</f>
        <v/>
      </c>
    </row>
    <row r="116">
      <c r="A116" s="19" t="n"/>
      <c r="B116" s="19" t="n"/>
      <c r="C116" s="19" t="n"/>
      <c r="D116" s="19" t="n"/>
      <c r="E116" s="20" t="n"/>
      <c r="F116" s="17" t="n"/>
      <c r="G116" s="19" t="n"/>
      <c r="H116" s="19" t="n"/>
      <c r="I116" s="19" t="n"/>
      <c r="J116" s="25">
        <f>IF(A116="","",SUMIFS(Horas!$D$2:$D$301,Horas!$B$2:$B$301,A116,Horas!$E$2:$E$301,Parametros!$B$1))</f>
        <v/>
      </c>
      <c r="K116" s="24">
        <f>IF(OR(A116="",G116&lt;&gt;"Activo"),"",IF(N(J116)=0,"Sin horas",E116/J116))</f>
        <v/>
      </c>
      <c r="L116" s="26">
        <f>IF(OR(A116="",G116&lt;&gt;"Activo"),"",IFERROR(E116/Tablero!$B$6,0))</f>
        <v/>
      </c>
      <c r="M116">
        <f>IF(NOT(ISNUMBER(K116)),"",IF(K116&lt;Parametros!$B$18,"BAJA",IF(K116&lt;Parametros!$B$18*1.25,"AJUSTADA","SANA")))</f>
        <v/>
      </c>
    </row>
    <row r="117">
      <c r="A117" s="19" t="n"/>
      <c r="B117" s="19" t="n"/>
      <c r="C117" s="19" t="n"/>
      <c r="D117" s="19" t="n"/>
      <c r="E117" s="20" t="n"/>
      <c r="F117" s="17" t="n"/>
      <c r="G117" s="19" t="n"/>
      <c r="H117" s="19" t="n"/>
      <c r="I117" s="19" t="n"/>
      <c r="J117" s="25">
        <f>IF(A117="","",SUMIFS(Horas!$D$2:$D$301,Horas!$B$2:$B$301,A117,Horas!$E$2:$E$301,Parametros!$B$1))</f>
        <v/>
      </c>
      <c r="K117" s="24">
        <f>IF(OR(A117="",G117&lt;&gt;"Activo"),"",IF(N(J117)=0,"Sin horas",E117/J117))</f>
        <v/>
      </c>
      <c r="L117" s="26">
        <f>IF(OR(A117="",G117&lt;&gt;"Activo"),"",IFERROR(E117/Tablero!$B$6,0))</f>
        <v/>
      </c>
      <c r="M117">
        <f>IF(NOT(ISNUMBER(K117)),"",IF(K117&lt;Parametros!$B$18,"BAJA",IF(K117&lt;Parametros!$B$18*1.25,"AJUSTADA","SANA")))</f>
        <v/>
      </c>
    </row>
    <row r="118">
      <c r="A118" s="19" t="n"/>
      <c r="B118" s="19" t="n"/>
      <c r="C118" s="19" t="n"/>
      <c r="D118" s="19" t="n"/>
      <c r="E118" s="20" t="n"/>
      <c r="F118" s="17" t="n"/>
      <c r="G118" s="19" t="n"/>
      <c r="H118" s="19" t="n"/>
      <c r="I118" s="19" t="n"/>
      <c r="J118" s="25">
        <f>IF(A118="","",SUMIFS(Horas!$D$2:$D$301,Horas!$B$2:$B$301,A118,Horas!$E$2:$E$301,Parametros!$B$1))</f>
        <v/>
      </c>
      <c r="K118" s="24">
        <f>IF(OR(A118="",G118&lt;&gt;"Activo"),"",IF(N(J118)=0,"Sin horas",E118/J118))</f>
        <v/>
      </c>
      <c r="L118" s="26">
        <f>IF(OR(A118="",G118&lt;&gt;"Activo"),"",IFERROR(E118/Tablero!$B$6,0))</f>
        <v/>
      </c>
      <c r="M118">
        <f>IF(NOT(ISNUMBER(K118)),"",IF(K118&lt;Parametros!$B$18,"BAJA",IF(K118&lt;Parametros!$B$18*1.25,"AJUSTADA","SANA")))</f>
        <v/>
      </c>
    </row>
    <row r="119">
      <c r="A119" s="19" t="n"/>
      <c r="B119" s="19" t="n"/>
      <c r="C119" s="19" t="n"/>
      <c r="D119" s="19" t="n"/>
      <c r="E119" s="20" t="n"/>
      <c r="F119" s="17" t="n"/>
      <c r="G119" s="19" t="n"/>
      <c r="H119" s="19" t="n"/>
      <c r="I119" s="19" t="n"/>
      <c r="J119" s="25">
        <f>IF(A119="","",SUMIFS(Horas!$D$2:$D$301,Horas!$B$2:$B$301,A119,Horas!$E$2:$E$301,Parametros!$B$1))</f>
        <v/>
      </c>
      <c r="K119" s="24">
        <f>IF(OR(A119="",G119&lt;&gt;"Activo"),"",IF(N(J119)=0,"Sin horas",E119/J119))</f>
        <v/>
      </c>
      <c r="L119" s="26">
        <f>IF(OR(A119="",G119&lt;&gt;"Activo"),"",IFERROR(E119/Tablero!$B$6,0))</f>
        <v/>
      </c>
      <c r="M119">
        <f>IF(NOT(ISNUMBER(K119)),"",IF(K119&lt;Parametros!$B$18,"BAJA",IF(K119&lt;Parametros!$B$18*1.25,"AJUSTADA","SANA")))</f>
        <v/>
      </c>
    </row>
    <row r="120">
      <c r="A120" s="19" t="n"/>
      <c r="B120" s="19" t="n"/>
      <c r="C120" s="19" t="n"/>
      <c r="D120" s="19" t="n"/>
      <c r="E120" s="20" t="n"/>
      <c r="F120" s="17" t="n"/>
      <c r="G120" s="19" t="n"/>
      <c r="H120" s="19" t="n"/>
      <c r="I120" s="19" t="n"/>
      <c r="J120" s="25">
        <f>IF(A120="","",SUMIFS(Horas!$D$2:$D$301,Horas!$B$2:$B$301,A120,Horas!$E$2:$E$301,Parametros!$B$1))</f>
        <v/>
      </c>
      <c r="K120" s="24">
        <f>IF(OR(A120="",G120&lt;&gt;"Activo"),"",IF(N(J120)=0,"Sin horas",E120/J120))</f>
        <v/>
      </c>
      <c r="L120" s="26">
        <f>IF(OR(A120="",G120&lt;&gt;"Activo"),"",IFERROR(E120/Tablero!$B$6,0))</f>
        <v/>
      </c>
      <c r="M120">
        <f>IF(NOT(ISNUMBER(K120)),"",IF(K120&lt;Parametros!$B$18,"BAJA",IF(K120&lt;Parametros!$B$18*1.25,"AJUSTADA","SANA")))</f>
        <v/>
      </c>
    </row>
    <row r="121">
      <c r="A121" s="19" t="n"/>
      <c r="B121" s="19" t="n"/>
      <c r="C121" s="19" t="n"/>
      <c r="D121" s="19" t="n"/>
      <c r="E121" s="20" t="n"/>
      <c r="F121" s="17" t="n"/>
      <c r="G121" s="19" t="n"/>
      <c r="H121" s="19" t="n"/>
      <c r="I121" s="19" t="n"/>
      <c r="J121" s="25">
        <f>IF(A121="","",SUMIFS(Horas!$D$2:$D$301,Horas!$B$2:$B$301,A121,Horas!$E$2:$E$301,Parametros!$B$1))</f>
        <v/>
      </c>
      <c r="K121" s="24">
        <f>IF(OR(A121="",G121&lt;&gt;"Activo"),"",IF(N(J121)=0,"Sin horas",E121/J121))</f>
        <v/>
      </c>
      <c r="L121" s="26">
        <f>IF(OR(A121="",G121&lt;&gt;"Activo"),"",IFERROR(E121/Tablero!$B$6,0))</f>
        <v/>
      </c>
      <c r="M121">
        <f>IF(NOT(ISNUMBER(K121)),"",IF(K121&lt;Parametros!$B$18,"BAJA",IF(K121&lt;Parametros!$B$18*1.25,"AJUSTADA","SANA")))</f>
        <v/>
      </c>
    </row>
    <row r="122">
      <c r="A122" s="19" t="n"/>
      <c r="B122" s="19" t="n"/>
      <c r="C122" s="19" t="n"/>
      <c r="D122" s="19" t="n"/>
      <c r="E122" s="20" t="n"/>
      <c r="F122" s="17" t="n"/>
      <c r="G122" s="19" t="n"/>
      <c r="H122" s="19" t="n"/>
      <c r="I122" s="19" t="n"/>
      <c r="J122" s="25">
        <f>IF(A122="","",SUMIFS(Horas!$D$2:$D$301,Horas!$B$2:$B$301,A122,Horas!$E$2:$E$301,Parametros!$B$1))</f>
        <v/>
      </c>
      <c r="K122" s="24">
        <f>IF(OR(A122="",G122&lt;&gt;"Activo"),"",IF(N(J122)=0,"Sin horas",E122/J122))</f>
        <v/>
      </c>
      <c r="L122" s="26">
        <f>IF(OR(A122="",G122&lt;&gt;"Activo"),"",IFERROR(E122/Tablero!$B$6,0))</f>
        <v/>
      </c>
      <c r="M122">
        <f>IF(NOT(ISNUMBER(K122)),"",IF(K122&lt;Parametros!$B$18,"BAJA",IF(K122&lt;Parametros!$B$18*1.25,"AJUSTADA","SANA")))</f>
        <v/>
      </c>
    </row>
    <row r="123">
      <c r="A123" s="19" t="n"/>
      <c r="B123" s="19" t="n"/>
      <c r="C123" s="19" t="n"/>
      <c r="D123" s="19" t="n"/>
      <c r="E123" s="20" t="n"/>
      <c r="F123" s="17" t="n"/>
      <c r="G123" s="19" t="n"/>
      <c r="H123" s="19" t="n"/>
      <c r="I123" s="19" t="n"/>
      <c r="J123" s="25">
        <f>IF(A123="","",SUMIFS(Horas!$D$2:$D$301,Horas!$B$2:$B$301,A123,Horas!$E$2:$E$301,Parametros!$B$1))</f>
        <v/>
      </c>
      <c r="K123" s="24">
        <f>IF(OR(A123="",G123&lt;&gt;"Activo"),"",IF(N(J123)=0,"Sin horas",E123/J123))</f>
        <v/>
      </c>
      <c r="L123" s="26">
        <f>IF(OR(A123="",G123&lt;&gt;"Activo"),"",IFERROR(E123/Tablero!$B$6,0))</f>
        <v/>
      </c>
      <c r="M123">
        <f>IF(NOT(ISNUMBER(K123)),"",IF(K123&lt;Parametros!$B$18,"BAJA",IF(K123&lt;Parametros!$B$18*1.25,"AJUSTADA","SANA")))</f>
        <v/>
      </c>
    </row>
    <row r="124">
      <c r="A124" s="19" t="n"/>
      <c r="B124" s="19" t="n"/>
      <c r="C124" s="19" t="n"/>
      <c r="D124" s="19" t="n"/>
      <c r="E124" s="20" t="n"/>
      <c r="F124" s="17" t="n"/>
      <c r="G124" s="19" t="n"/>
      <c r="H124" s="19" t="n"/>
      <c r="I124" s="19" t="n"/>
      <c r="J124" s="25">
        <f>IF(A124="","",SUMIFS(Horas!$D$2:$D$301,Horas!$B$2:$B$301,A124,Horas!$E$2:$E$301,Parametros!$B$1))</f>
        <v/>
      </c>
      <c r="K124" s="24">
        <f>IF(OR(A124="",G124&lt;&gt;"Activo"),"",IF(N(J124)=0,"Sin horas",E124/J124))</f>
        <v/>
      </c>
      <c r="L124" s="26">
        <f>IF(OR(A124="",G124&lt;&gt;"Activo"),"",IFERROR(E124/Tablero!$B$6,0))</f>
        <v/>
      </c>
      <c r="M124">
        <f>IF(NOT(ISNUMBER(K124)),"",IF(K124&lt;Parametros!$B$18,"BAJA",IF(K124&lt;Parametros!$B$18*1.25,"AJUSTADA","SANA")))</f>
        <v/>
      </c>
    </row>
    <row r="125">
      <c r="A125" s="19" t="n"/>
      <c r="B125" s="19" t="n"/>
      <c r="C125" s="19" t="n"/>
      <c r="D125" s="19" t="n"/>
      <c r="E125" s="20" t="n"/>
      <c r="F125" s="17" t="n"/>
      <c r="G125" s="19" t="n"/>
      <c r="H125" s="19" t="n"/>
      <c r="I125" s="19" t="n"/>
      <c r="J125" s="25">
        <f>IF(A125="","",SUMIFS(Horas!$D$2:$D$301,Horas!$B$2:$B$301,A125,Horas!$E$2:$E$301,Parametros!$B$1))</f>
        <v/>
      </c>
      <c r="K125" s="24">
        <f>IF(OR(A125="",G125&lt;&gt;"Activo"),"",IF(N(J125)=0,"Sin horas",E125/J125))</f>
        <v/>
      </c>
      <c r="L125" s="26">
        <f>IF(OR(A125="",G125&lt;&gt;"Activo"),"",IFERROR(E125/Tablero!$B$6,0))</f>
        <v/>
      </c>
      <c r="M125">
        <f>IF(NOT(ISNUMBER(K125)),"",IF(K125&lt;Parametros!$B$18,"BAJA",IF(K125&lt;Parametros!$B$18*1.25,"AJUSTADA","SANA")))</f>
        <v/>
      </c>
    </row>
    <row r="126">
      <c r="A126" s="19" t="n"/>
      <c r="B126" s="19" t="n"/>
      <c r="C126" s="19" t="n"/>
      <c r="D126" s="19" t="n"/>
      <c r="E126" s="20" t="n"/>
      <c r="F126" s="17" t="n"/>
      <c r="G126" s="19" t="n"/>
      <c r="H126" s="19" t="n"/>
      <c r="I126" s="19" t="n"/>
      <c r="J126" s="25">
        <f>IF(A126="","",SUMIFS(Horas!$D$2:$D$301,Horas!$B$2:$B$301,A126,Horas!$E$2:$E$301,Parametros!$B$1))</f>
        <v/>
      </c>
      <c r="K126" s="24">
        <f>IF(OR(A126="",G126&lt;&gt;"Activo"),"",IF(N(J126)=0,"Sin horas",E126/J126))</f>
        <v/>
      </c>
      <c r="L126" s="26">
        <f>IF(OR(A126="",G126&lt;&gt;"Activo"),"",IFERROR(E126/Tablero!$B$6,0))</f>
        <v/>
      </c>
      <c r="M126">
        <f>IF(NOT(ISNUMBER(K126)),"",IF(K126&lt;Parametros!$B$18,"BAJA",IF(K126&lt;Parametros!$B$18*1.25,"AJUSTADA","SANA")))</f>
        <v/>
      </c>
    </row>
    <row r="127">
      <c r="A127" s="19" t="n"/>
      <c r="B127" s="19" t="n"/>
      <c r="C127" s="19" t="n"/>
      <c r="D127" s="19" t="n"/>
      <c r="E127" s="20" t="n"/>
      <c r="F127" s="17" t="n"/>
      <c r="G127" s="19" t="n"/>
      <c r="H127" s="19" t="n"/>
      <c r="I127" s="19" t="n"/>
      <c r="J127" s="25">
        <f>IF(A127="","",SUMIFS(Horas!$D$2:$D$301,Horas!$B$2:$B$301,A127,Horas!$E$2:$E$301,Parametros!$B$1))</f>
        <v/>
      </c>
      <c r="K127" s="24">
        <f>IF(OR(A127="",G127&lt;&gt;"Activo"),"",IF(N(J127)=0,"Sin horas",E127/J127))</f>
        <v/>
      </c>
      <c r="L127" s="26">
        <f>IF(OR(A127="",G127&lt;&gt;"Activo"),"",IFERROR(E127/Tablero!$B$6,0))</f>
        <v/>
      </c>
      <c r="M127">
        <f>IF(NOT(ISNUMBER(K127)),"",IF(K127&lt;Parametros!$B$18,"BAJA",IF(K127&lt;Parametros!$B$18*1.25,"AJUSTADA","SANA")))</f>
        <v/>
      </c>
    </row>
    <row r="128">
      <c r="A128" s="19" t="n"/>
      <c r="B128" s="19" t="n"/>
      <c r="C128" s="19" t="n"/>
      <c r="D128" s="19" t="n"/>
      <c r="E128" s="20" t="n"/>
      <c r="F128" s="17" t="n"/>
      <c r="G128" s="19" t="n"/>
      <c r="H128" s="19" t="n"/>
      <c r="I128" s="19" t="n"/>
      <c r="J128" s="25">
        <f>IF(A128="","",SUMIFS(Horas!$D$2:$D$301,Horas!$B$2:$B$301,A128,Horas!$E$2:$E$301,Parametros!$B$1))</f>
        <v/>
      </c>
      <c r="K128" s="24">
        <f>IF(OR(A128="",G128&lt;&gt;"Activo"),"",IF(N(J128)=0,"Sin horas",E128/J128))</f>
        <v/>
      </c>
      <c r="L128" s="26">
        <f>IF(OR(A128="",G128&lt;&gt;"Activo"),"",IFERROR(E128/Tablero!$B$6,0))</f>
        <v/>
      </c>
      <c r="M128">
        <f>IF(NOT(ISNUMBER(K128)),"",IF(K128&lt;Parametros!$B$18,"BAJA",IF(K128&lt;Parametros!$B$18*1.25,"AJUSTADA","SANA")))</f>
        <v/>
      </c>
    </row>
    <row r="129">
      <c r="A129" s="19" t="n"/>
      <c r="B129" s="19" t="n"/>
      <c r="C129" s="19" t="n"/>
      <c r="D129" s="19" t="n"/>
      <c r="E129" s="20" t="n"/>
      <c r="F129" s="17" t="n"/>
      <c r="G129" s="19" t="n"/>
      <c r="H129" s="19" t="n"/>
      <c r="I129" s="19" t="n"/>
      <c r="J129" s="25">
        <f>IF(A129="","",SUMIFS(Horas!$D$2:$D$301,Horas!$B$2:$B$301,A129,Horas!$E$2:$E$301,Parametros!$B$1))</f>
        <v/>
      </c>
      <c r="K129" s="24">
        <f>IF(OR(A129="",G129&lt;&gt;"Activo"),"",IF(N(J129)=0,"Sin horas",E129/J129))</f>
        <v/>
      </c>
      <c r="L129" s="26">
        <f>IF(OR(A129="",G129&lt;&gt;"Activo"),"",IFERROR(E129/Tablero!$B$6,0))</f>
        <v/>
      </c>
      <c r="M129">
        <f>IF(NOT(ISNUMBER(K129)),"",IF(K129&lt;Parametros!$B$18,"BAJA",IF(K129&lt;Parametros!$B$18*1.25,"AJUSTADA","SANA")))</f>
        <v/>
      </c>
    </row>
    <row r="130">
      <c r="A130" s="19" t="n"/>
      <c r="B130" s="19" t="n"/>
      <c r="C130" s="19" t="n"/>
      <c r="D130" s="19" t="n"/>
      <c r="E130" s="20" t="n"/>
      <c r="F130" s="17" t="n"/>
      <c r="G130" s="19" t="n"/>
      <c r="H130" s="19" t="n"/>
      <c r="I130" s="19" t="n"/>
      <c r="J130" s="25">
        <f>IF(A130="","",SUMIFS(Horas!$D$2:$D$301,Horas!$B$2:$B$301,A130,Horas!$E$2:$E$301,Parametros!$B$1))</f>
        <v/>
      </c>
      <c r="K130" s="24">
        <f>IF(OR(A130="",G130&lt;&gt;"Activo"),"",IF(N(J130)=0,"Sin horas",E130/J130))</f>
        <v/>
      </c>
      <c r="L130" s="26">
        <f>IF(OR(A130="",G130&lt;&gt;"Activo"),"",IFERROR(E130/Tablero!$B$6,0))</f>
        <v/>
      </c>
      <c r="M130">
        <f>IF(NOT(ISNUMBER(K130)),"",IF(K130&lt;Parametros!$B$18,"BAJA",IF(K130&lt;Parametros!$B$18*1.25,"AJUSTADA","SANA")))</f>
        <v/>
      </c>
    </row>
    <row r="131">
      <c r="A131" s="19" t="n"/>
      <c r="B131" s="19" t="n"/>
      <c r="C131" s="19" t="n"/>
      <c r="D131" s="19" t="n"/>
      <c r="E131" s="20" t="n"/>
      <c r="F131" s="17" t="n"/>
      <c r="G131" s="19" t="n"/>
      <c r="H131" s="19" t="n"/>
      <c r="I131" s="19" t="n"/>
      <c r="J131" s="25">
        <f>IF(A131="","",SUMIFS(Horas!$D$2:$D$301,Horas!$B$2:$B$301,A131,Horas!$E$2:$E$301,Parametros!$B$1))</f>
        <v/>
      </c>
      <c r="K131" s="24">
        <f>IF(OR(A131="",G131&lt;&gt;"Activo"),"",IF(N(J131)=0,"Sin horas",E131/J131))</f>
        <v/>
      </c>
      <c r="L131" s="26">
        <f>IF(OR(A131="",G131&lt;&gt;"Activo"),"",IFERROR(E131/Tablero!$B$6,0))</f>
        <v/>
      </c>
      <c r="M131">
        <f>IF(NOT(ISNUMBER(K131)),"",IF(K131&lt;Parametros!$B$18,"BAJA",IF(K131&lt;Parametros!$B$18*1.25,"AJUSTADA","SANA")))</f>
        <v/>
      </c>
    </row>
    <row r="132">
      <c r="A132" s="19" t="n"/>
      <c r="B132" s="19" t="n"/>
      <c r="C132" s="19" t="n"/>
      <c r="D132" s="19" t="n"/>
      <c r="E132" s="20" t="n"/>
      <c r="F132" s="17" t="n"/>
      <c r="G132" s="19" t="n"/>
      <c r="H132" s="19" t="n"/>
      <c r="I132" s="19" t="n"/>
      <c r="J132" s="25">
        <f>IF(A132="","",SUMIFS(Horas!$D$2:$D$301,Horas!$B$2:$B$301,A132,Horas!$E$2:$E$301,Parametros!$B$1))</f>
        <v/>
      </c>
      <c r="K132" s="24">
        <f>IF(OR(A132="",G132&lt;&gt;"Activo"),"",IF(N(J132)=0,"Sin horas",E132/J132))</f>
        <v/>
      </c>
      <c r="L132" s="26">
        <f>IF(OR(A132="",G132&lt;&gt;"Activo"),"",IFERROR(E132/Tablero!$B$6,0))</f>
        <v/>
      </c>
      <c r="M132">
        <f>IF(NOT(ISNUMBER(K132)),"",IF(K132&lt;Parametros!$B$18,"BAJA",IF(K132&lt;Parametros!$B$18*1.25,"AJUSTADA","SANA")))</f>
        <v/>
      </c>
    </row>
    <row r="133">
      <c r="A133" s="19" t="n"/>
      <c r="B133" s="19" t="n"/>
      <c r="C133" s="19" t="n"/>
      <c r="D133" s="19" t="n"/>
      <c r="E133" s="20" t="n"/>
      <c r="F133" s="17" t="n"/>
      <c r="G133" s="19" t="n"/>
      <c r="H133" s="19" t="n"/>
      <c r="I133" s="19" t="n"/>
      <c r="J133" s="25">
        <f>IF(A133="","",SUMIFS(Horas!$D$2:$D$301,Horas!$B$2:$B$301,A133,Horas!$E$2:$E$301,Parametros!$B$1))</f>
        <v/>
      </c>
      <c r="K133" s="24">
        <f>IF(OR(A133="",G133&lt;&gt;"Activo"),"",IF(N(J133)=0,"Sin horas",E133/J133))</f>
        <v/>
      </c>
      <c r="L133" s="26">
        <f>IF(OR(A133="",G133&lt;&gt;"Activo"),"",IFERROR(E133/Tablero!$B$6,0))</f>
        <v/>
      </c>
      <c r="M133">
        <f>IF(NOT(ISNUMBER(K133)),"",IF(K133&lt;Parametros!$B$18,"BAJA",IF(K133&lt;Parametros!$B$18*1.25,"AJUSTADA","SANA")))</f>
        <v/>
      </c>
    </row>
    <row r="134">
      <c r="A134" s="19" t="n"/>
      <c r="B134" s="19" t="n"/>
      <c r="C134" s="19" t="n"/>
      <c r="D134" s="19" t="n"/>
      <c r="E134" s="20" t="n"/>
      <c r="F134" s="17" t="n"/>
      <c r="G134" s="19" t="n"/>
      <c r="H134" s="19" t="n"/>
      <c r="I134" s="19" t="n"/>
      <c r="J134" s="25">
        <f>IF(A134="","",SUMIFS(Horas!$D$2:$D$301,Horas!$B$2:$B$301,A134,Horas!$E$2:$E$301,Parametros!$B$1))</f>
        <v/>
      </c>
      <c r="K134" s="24">
        <f>IF(OR(A134="",G134&lt;&gt;"Activo"),"",IF(N(J134)=0,"Sin horas",E134/J134))</f>
        <v/>
      </c>
      <c r="L134" s="26">
        <f>IF(OR(A134="",G134&lt;&gt;"Activo"),"",IFERROR(E134/Tablero!$B$6,0))</f>
        <v/>
      </c>
      <c r="M134">
        <f>IF(NOT(ISNUMBER(K134)),"",IF(K134&lt;Parametros!$B$18,"BAJA",IF(K134&lt;Parametros!$B$18*1.25,"AJUSTADA","SANA")))</f>
        <v/>
      </c>
    </row>
    <row r="135">
      <c r="A135" s="19" t="n"/>
      <c r="B135" s="19" t="n"/>
      <c r="C135" s="19" t="n"/>
      <c r="D135" s="19" t="n"/>
      <c r="E135" s="20" t="n"/>
      <c r="F135" s="17" t="n"/>
      <c r="G135" s="19" t="n"/>
      <c r="H135" s="19" t="n"/>
      <c r="I135" s="19" t="n"/>
      <c r="J135" s="25">
        <f>IF(A135="","",SUMIFS(Horas!$D$2:$D$301,Horas!$B$2:$B$301,A135,Horas!$E$2:$E$301,Parametros!$B$1))</f>
        <v/>
      </c>
      <c r="K135" s="24">
        <f>IF(OR(A135="",G135&lt;&gt;"Activo"),"",IF(N(J135)=0,"Sin horas",E135/J135))</f>
        <v/>
      </c>
      <c r="L135" s="26">
        <f>IF(OR(A135="",G135&lt;&gt;"Activo"),"",IFERROR(E135/Tablero!$B$6,0))</f>
        <v/>
      </c>
      <c r="M135">
        <f>IF(NOT(ISNUMBER(K135)),"",IF(K135&lt;Parametros!$B$18,"BAJA",IF(K135&lt;Parametros!$B$18*1.25,"AJUSTADA","SANA")))</f>
        <v/>
      </c>
    </row>
    <row r="136">
      <c r="A136" s="19" t="n"/>
      <c r="B136" s="19" t="n"/>
      <c r="C136" s="19" t="n"/>
      <c r="D136" s="19" t="n"/>
      <c r="E136" s="20" t="n"/>
      <c r="F136" s="17" t="n"/>
      <c r="G136" s="19" t="n"/>
      <c r="H136" s="19" t="n"/>
      <c r="I136" s="19" t="n"/>
      <c r="J136" s="25">
        <f>IF(A136="","",SUMIFS(Horas!$D$2:$D$301,Horas!$B$2:$B$301,A136,Horas!$E$2:$E$301,Parametros!$B$1))</f>
        <v/>
      </c>
      <c r="K136" s="24">
        <f>IF(OR(A136="",G136&lt;&gt;"Activo"),"",IF(N(J136)=0,"Sin horas",E136/J136))</f>
        <v/>
      </c>
      <c r="L136" s="26">
        <f>IF(OR(A136="",G136&lt;&gt;"Activo"),"",IFERROR(E136/Tablero!$B$6,0))</f>
        <v/>
      </c>
      <c r="M136">
        <f>IF(NOT(ISNUMBER(K136)),"",IF(K136&lt;Parametros!$B$18,"BAJA",IF(K136&lt;Parametros!$B$18*1.25,"AJUSTADA","SANA")))</f>
        <v/>
      </c>
    </row>
    <row r="137">
      <c r="A137" s="19" t="n"/>
      <c r="B137" s="19" t="n"/>
      <c r="C137" s="19" t="n"/>
      <c r="D137" s="19" t="n"/>
      <c r="E137" s="20" t="n"/>
      <c r="F137" s="17" t="n"/>
      <c r="G137" s="19" t="n"/>
      <c r="H137" s="19" t="n"/>
      <c r="I137" s="19" t="n"/>
      <c r="J137" s="25">
        <f>IF(A137="","",SUMIFS(Horas!$D$2:$D$301,Horas!$B$2:$B$301,A137,Horas!$E$2:$E$301,Parametros!$B$1))</f>
        <v/>
      </c>
      <c r="K137" s="24">
        <f>IF(OR(A137="",G137&lt;&gt;"Activo"),"",IF(N(J137)=0,"Sin horas",E137/J137))</f>
        <v/>
      </c>
      <c r="L137" s="26">
        <f>IF(OR(A137="",G137&lt;&gt;"Activo"),"",IFERROR(E137/Tablero!$B$6,0))</f>
        <v/>
      </c>
      <c r="M137">
        <f>IF(NOT(ISNUMBER(K137)),"",IF(K137&lt;Parametros!$B$18,"BAJA",IF(K137&lt;Parametros!$B$18*1.25,"AJUSTADA","SANA")))</f>
        <v/>
      </c>
    </row>
    <row r="138">
      <c r="A138" s="19" t="n"/>
      <c r="B138" s="19" t="n"/>
      <c r="C138" s="19" t="n"/>
      <c r="D138" s="19" t="n"/>
      <c r="E138" s="20" t="n"/>
      <c r="F138" s="17" t="n"/>
      <c r="G138" s="19" t="n"/>
      <c r="H138" s="19" t="n"/>
      <c r="I138" s="19" t="n"/>
      <c r="J138" s="25">
        <f>IF(A138="","",SUMIFS(Horas!$D$2:$D$301,Horas!$B$2:$B$301,A138,Horas!$E$2:$E$301,Parametros!$B$1))</f>
        <v/>
      </c>
      <c r="K138" s="24">
        <f>IF(OR(A138="",G138&lt;&gt;"Activo"),"",IF(N(J138)=0,"Sin horas",E138/J138))</f>
        <v/>
      </c>
      <c r="L138" s="26">
        <f>IF(OR(A138="",G138&lt;&gt;"Activo"),"",IFERROR(E138/Tablero!$B$6,0))</f>
        <v/>
      </c>
      <c r="M138">
        <f>IF(NOT(ISNUMBER(K138)),"",IF(K138&lt;Parametros!$B$18,"BAJA",IF(K138&lt;Parametros!$B$18*1.25,"AJUSTADA","SANA")))</f>
        <v/>
      </c>
    </row>
    <row r="139">
      <c r="A139" s="19" t="n"/>
      <c r="B139" s="19" t="n"/>
      <c r="C139" s="19" t="n"/>
      <c r="D139" s="19" t="n"/>
      <c r="E139" s="20" t="n"/>
      <c r="F139" s="17" t="n"/>
      <c r="G139" s="19" t="n"/>
      <c r="H139" s="19" t="n"/>
      <c r="I139" s="19" t="n"/>
      <c r="J139" s="25">
        <f>IF(A139="","",SUMIFS(Horas!$D$2:$D$301,Horas!$B$2:$B$301,A139,Horas!$E$2:$E$301,Parametros!$B$1))</f>
        <v/>
      </c>
      <c r="K139" s="24">
        <f>IF(OR(A139="",G139&lt;&gt;"Activo"),"",IF(N(J139)=0,"Sin horas",E139/J139))</f>
        <v/>
      </c>
      <c r="L139" s="26">
        <f>IF(OR(A139="",G139&lt;&gt;"Activo"),"",IFERROR(E139/Tablero!$B$6,0))</f>
        <v/>
      </c>
      <c r="M139">
        <f>IF(NOT(ISNUMBER(K139)),"",IF(K139&lt;Parametros!$B$18,"BAJA",IF(K139&lt;Parametros!$B$18*1.25,"AJUSTADA","SANA")))</f>
        <v/>
      </c>
    </row>
    <row r="140">
      <c r="A140" s="19" t="n"/>
      <c r="B140" s="19" t="n"/>
      <c r="C140" s="19" t="n"/>
      <c r="D140" s="19" t="n"/>
      <c r="E140" s="20" t="n"/>
      <c r="F140" s="17" t="n"/>
      <c r="G140" s="19" t="n"/>
      <c r="H140" s="19" t="n"/>
      <c r="I140" s="19" t="n"/>
      <c r="J140" s="25">
        <f>IF(A140="","",SUMIFS(Horas!$D$2:$D$301,Horas!$B$2:$B$301,A140,Horas!$E$2:$E$301,Parametros!$B$1))</f>
        <v/>
      </c>
      <c r="K140" s="24">
        <f>IF(OR(A140="",G140&lt;&gt;"Activo"),"",IF(N(J140)=0,"Sin horas",E140/J140))</f>
        <v/>
      </c>
      <c r="L140" s="26">
        <f>IF(OR(A140="",G140&lt;&gt;"Activo"),"",IFERROR(E140/Tablero!$B$6,0))</f>
        <v/>
      </c>
      <c r="M140">
        <f>IF(NOT(ISNUMBER(K140)),"",IF(K140&lt;Parametros!$B$18,"BAJA",IF(K140&lt;Parametros!$B$18*1.25,"AJUSTADA","SANA")))</f>
        <v/>
      </c>
    </row>
    <row r="141">
      <c r="A141" s="19" t="n"/>
      <c r="B141" s="19" t="n"/>
      <c r="C141" s="19" t="n"/>
      <c r="D141" s="19" t="n"/>
      <c r="E141" s="20" t="n"/>
      <c r="F141" s="17" t="n"/>
      <c r="G141" s="19" t="n"/>
      <c r="H141" s="19" t="n"/>
      <c r="I141" s="19" t="n"/>
      <c r="J141" s="25">
        <f>IF(A141="","",SUMIFS(Horas!$D$2:$D$301,Horas!$B$2:$B$301,A141,Horas!$E$2:$E$301,Parametros!$B$1))</f>
        <v/>
      </c>
      <c r="K141" s="24">
        <f>IF(OR(A141="",G141&lt;&gt;"Activo"),"",IF(N(J141)=0,"Sin horas",E141/J141))</f>
        <v/>
      </c>
      <c r="L141" s="26">
        <f>IF(OR(A141="",G141&lt;&gt;"Activo"),"",IFERROR(E141/Tablero!$B$6,0))</f>
        <v/>
      </c>
      <c r="M141">
        <f>IF(NOT(ISNUMBER(K141)),"",IF(K141&lt;Parametros!$B$18,"BAJA",IF(K141&lt;Parametros!$B$18*1.25,"AJUSTADA","SANA")))</f>
        <v/>
      </c>
    </row>
    <row r="142">
      <c r="A142" s="19" t="n"/>
      <c r="B142" s="19" t="n"/>
      <c r="C142" s="19" t="n"/>
      <c r="D142" s="19" t="n"/>
      <c r="E142" s="20" t="n"/>
      <c r="F142" s="17" t="n"/>
      <c r="G142" s="19" t="n"/>
      <c r="H142" s="19" t="n"/>
      <c r="I142" s="19" t="n"/>
      <c r="J142" s="25">
        <f>IF(A142="","",SUMIFS(Horas!$D$2:$D$301,Horas!$B$2:$B$301,A142,Horas!$E$2:$E$301,Parametros!$B$1))</f>
        <v/>
      </c>
      <c r="K142" s="24">
        <f>IF(OR(A142="",G142&lt;&gt;"Activo"),"",IF(N(J142)=0,"Sin horas",E142/J142))</f>
        <v/>
      </c>
      <c r="L142" s="26">
        <f>IF(OR(A142="",G142&lt;&gt;"Activo"),"",IFERROR(E142/Tablero!$B$6,0))</f>
        <v/>
      </c>
      <c r="M142">
        <f>IF(NOT(ISNUMBER(K142)),"",IF(K142&lt;Parametros!$B$18,"BAJA",IF(K142&lt;Parametros!$B$18*1.25,"AJUSTADA","SANA")))</f>
        <v/>
      </c>
    </row>
    <row r="143">
      <c r="A143" s="19" t="n"/>
      <c r="B143" s="19" t="n"/>
      <c r="C143" s="19" t="n"/>
      <c r="D143" s="19" t="n"/>
      <c r="E143" s="20" t="n"/>
      <c r="F143" s="17" t="n"/>
      <c r="G143" s="19" t="n"/>
      <c r="H143" s="19" t="n"/>
      <c r="I143" s="19" t="n"/>
      <c r="J143" s="25">
        <f>IF(A143="","",SUMIFS(Horas!$D$2:$D$301,Horas!$B$2:$B$301,A143,Horas!$E$2:$E$301,Parametros!$B$1))</f>
        <v/>
      </c>
      <c r="K143" s="24">
        <f>IF(OR(A143="",G143&lt;&gt;"Activo"),"",IF(N(J143)=0,"Sin horas",E143/J143))</f>
        <v/>
      </c>
      <c r="L143" s="26">
        <f>IF(OR(A143="",G143&lt;&gt;"Activo"),"",IFERROR(E143/Tablero!$B$6,0))</f>
        <v/>
      </c>
      <c r="M143">
        <f>IF(NOT(ISNUMBER(K143)),"",IF(K143&lt;Parametros!$B$18,"BAJA",IF(K143&lt;Parametros!$B$18*1.25,"AJUSTADA","SANA")))</f>
        <v/>
      </c>
    </row>
    <row r="144">
      <c r="A144" s="19" t="n"/>
      <c r="B144" s="19" t="n"/>
      <c r="C144" s="19" t="n"/>
      <c r="D144" s="19" t="n"/>
      <c r="E144" s="20" t="n"/>
      <c r="F144" s="17" t="n"/>
      <c r="G144" s="19" t="n"/>
      <c r="H144" s="19" t="n"/>
      <c r="I144" s="19" t="n"/>
      <c r="J144" s="25">
        <f>IF(A144="","",SUMIFS(Horas!$D$2:$D$301,Horas!$B$2:$B$301,A144,Horas!$E$2:$E$301,Parametros!$B$1))</f>
        <v/>
      </c>
      <c r="K144" s="24">
        <f>IF(OR(A144="",G144&lt;&gt;"Activo"),"",IF(N(J144)=0,"Sin horas",E144/J144))</f>
        <v/>
      </c>
      <c r="L144" s="26">
        <f>IF(OR(A144="",G144&lt;&gt;"Activo"),"",IFERROR(E144/Tablero!$B$6,0))</f>
        <v/>
      </c>
      <c r="M144">
        <f>IF(NOT(ISNUMBER(K144)),"",IF(K144&lt;Parametros!$B$18,"BAJA",IF(K144&lt;Parametros!$B$18*1.25,"AJUSTADA","SANA")))</f>
        <v/>
      </c>
    </row>
    <row r="145">
      <c r="A145" s="19" t="n"/>
      <c r="B145" s="19" t="n"/>
      <c r="C145" s="19" t="n"/>
      <c r="D145" s="19" t="n"/>
      <c r="E145" s="20" t="n"/>
      <c r="F145" s="17" t="n"/>
      <c r="G145" s="19" t="n"/>
      <c r="H145" s="19" t="n"/>
      <c r="I145" s="19" t="n"/>
      <c r="J145" s="25">
        <f>IF(A145="","",SUMIFS(Horas!$D$2:$D$301,Horas!$B$2:$B$301,A145,Horas!$E$2:$E$301,Parametros!$B$1))</f>
        <v/>
      </c>
      <c r="K145" s="24">
        <f>IF(OR(A145="",G145&lt;&gt;"Activo"),"",IF(N(J145)=0,"Sin horas",E145/J145))</f>
        <v/>
      </c>
      <c r="L145" s="26">
        <f>IF(OR(A145="",G145&lt;&gt;"Activo"),"",IFERROR(E145/Tablero!$B$6,0))</f>
        <v/>
      </c>
      <c r="M145">
        <f>IF(NOT(ISNUMBER(K145)),"",IF(K145&lt;Parametros!$B$18,"BAJA",IF(K145&lt;Parametros!$B$18*1.25,"AJUSTADA","SANA")))</f>
        <v/>
      </c>
    </row>
    <row r="146">
      <c r="A146" s="19" t="n"/>
      <c r="B146" s="19" t="n"/>
      <c r="C146" s="19" t="n"/>
      <c r="D146" s="19" t="n"/>
      <c r="E146" s="20" t="n"/>
      <c r="F146" s="17" t="n"/>
      <c r="G146" s="19" t="n"/>
      <c r="H146" s="19" t="n"/>
      <c r="I146" s="19" t="n"/>
      <c r="J146" s="25">
        <f>IF(A146="","",SUMIFS(Horas!$D$2:$D$301,Horas!$B$2:$B$301,A146,Horas!$E$2:$E$301,Parametros!$B$1))</f>
        <v/>
      </c>
      <c r="K146" s="24">
        <f>IF(OR(A146="",G146&lt;&gt;"Activo"),"",IF(N(J146)=0,"Sin horas",E146/J146))</f>
        <v/>
      </c>
      <c r="L146" s="26">
        <f>IF(OR(A146="",G146&lt;&gt;"Activo"),"",IFERROR(E146/Tablero!$B$6,0))</f>
        <v/>
      </c>
      <c r="M146">
        <f>IF(NOT(ISNUMBER(K146)),"",IF(K146&lt;Parametros!$B$18,"BAJA",IF(K146&lt;Parametros!$B$18*1.25,"AJUSTADA","SANA")))</f>
        <v/>
      </c>
    </row>
    <row r="147">
      <c r="A147" s="19" t="n"/>
      <c r="B147" s="19" t="n"/>
      <c r="C147" s="19" t="n"/>
      <c r="D147" s="19" t="n"/>
      <c r="E147" s="20" t="n"/>
      <c r="F147" s="17" t="n"/>
      <c r="G147" s="19" t="n"/>
      <c r="H147" s="19" t="n"/>
      <c r="I147" s="19" t="n"/>
      <c r="J147" s="25">
        <f>IF(A147="","",SUMIFS(Horas!$D$2:$D$301,Horas!$B$2:$B$301,A147,Horas!$E$2:$E$301,Parametros!$B$1))</f>
        <v/>
      </c>
      <c r="K147" s="24">
        <f>IF(OR(A147="",G147&lt;&gt;"Activo"),"",IF(N(J147)=0,"Sin horas",E147/J147))</f>
        <v/>
      </c>
      <c r="L147" s="26">
        <f>IF(OR(A147="",G147&lt;&gt;"Activo"),"",IFERROR(E147/Tablero!$B$6,0))</f>
        <v/>
      </c>
      <c r="M147">
        <f>IF(NOT(ISNUMBER(K147)),"",IF(K147&lt;Parametros!$B$18,"BAJA",IF(K147&lt;Parametros!$B$18*1.25,"AJUSTADA","SANA")))</f>
        <v/>
      </c>
    </row>
    <row r="148">
      <c r="A148" s="19" t="n"/>
      <c r="B148" s="19" t="n"/>
      <c r="C148" s="19" t="n"/>
      <c r="D148" s="19" t="n"/>
      <c r="E148" s="20" t="n"/>
      <c r="F148" s="17" t="n"/>
      <c r="G148" s="19" t="n"/>
      <c r="H148" s="19" t="n"/>
      <c r="I148" s="19" t="n"/>
      <c r="J148" s="25">
        <f>IF(A148="","",SUMIFS(Horas!$D$2:$D$301,Horas!$B$2:$B$301,A148,Horas!$E$2:$E$301,Parametros!$B$1))</f>
        <v/>
      </c>
      <c r="K148" s="24">
        <f>IF(OR(A148="",G148&lt;&gt;"Activo"),"",IF(N(J148)=0,"Sin horas",E148/J148))</f>
        <v/>
      </c>
      <c r="L148" s="26">
        <f>IF(OR(A148="",G148&lt;&gt;"Activo"),"",IFERROR(E148/Tablero!$B$6,0))</f>
        <v/>
      </c>
      <c r="M148">
        <f>IF(NOT(ISNUMBER(K148)),"",IF(K148&lt;Parametros!$B$18,"BAJA",IF(K148&lt;Parametros!$B$18*1.25,"AJUSTADA","SANA")))</f>
        <v/>
      </c>
    </row>
    <row r="149">
      <c r="A149" s="19" t="n"/>
      <c r="B149" s="19" t="n"/>
      <c r="C149" s="19" t="n"/>
      <c r="D149" s="19" t="n"/>
      <c r="E149" s="20" t="n"/>
      <c r="F149" s="17" t="n"/>
      <c r="G149" s="19" t="n"/>
      <c r="H149" s="19" t="n"/>
      <c r="I149" s="19" t="n"/>
      <c r="J149" s="25">
        <f>IF(A149="","",SUMIFS(Horas!$D$2:$D$301,Horas!$B$2:$B$301,A149,Horas!$E$2:$E$301,Parametros!$B$1))</f>
        <v/>
      </c>
      <c r="K149" s="24">
        <f>IF(OR(A149="",G149&lt;&gt;"Activo"),"",IF(N(J149)=0,"Sin horas",E149/J149))</f>
        <v/>
      </c>
      <c r="L149" s="26">
        <f>IF(OR(A149="",G149&lt;&gt;"Activo"),"",IFERROR(E149/Tablero!$B$6,0))</f>
        <v/>
      </c>
      <c r="M149">
        <f>IF(NOT(ISNUMBER(K149)),"",IF(K149&lt;Parametros!$B$18,"BAJA",IF(K149&lt;Parametros!$B$18*1.25,"AJUSTADA","SANA")))</f>
        <v/>
      </c>
    </row>
    <row r="150">
      <c r="A150" s="19" t="n"/>
      <c r="B150" s="19" t="n"/>
      <c r="C150" s="19" t="n"/>
      <c r="D150" s="19" t="n"/>
      <c r="E150" s="20" t="n"/>
      <c r="F150" s="17" t="n"/>
      <c r="G150" s="19" t="n"/>
      <c r="H150" s="19" t="n"/>
      <c r="I150" s="19" t="n"/>
      <c r="J150" s="25">
        <f>IF(A150="","",SUMIFS(Horas!$D$2:$D$301,Horas!$B$2:$B$301,A150,Horas!$E$2:$E$301,Parametros!$B$1))</f>
        <v/>
      </c>
      <c r="K150" s="24">
        <f>IF(OR(A150="",G150&lt;&gt;"Activo"),"",IF(N(J150)=0,"Sin horas",E150/J150))</f>
        <v/>
      </c>
      <c r="L150" s="26">
        <f>IF(OR(A150="",G150&lt;&gt;"Activo"),"",IFERROR(E150/Tablero!$B$6,0))</f>
        <v/>
      </c>
      <c r="M150">
        <f>IF(NOT(ISNUMBER(K150)),"",IF(K150&lt;Parametros!$B$18,"BAJA",IF(K150&lt;Parametros!$B$18*1.25,"AJUSTADA","SANA")))</f>
        <v/>
      </c>
    </row>
    <row r="151">
      <c r="A151" s="19" t="n"/>
      <c r="B151" s="19" t="n"/>
      <c r="C151" s="19" t="n"/>
      <c r="D151" s="19" t="n"/>
      <c r="E151" s="20" t="n"/>
      <c r="F151" s="17" t="n"/>
      <c r="G151" s="19" t="n"/>
      <c r="H151" s="19" t="n"/>
      <c r="I151" s="19" t="n"/>
      <c r="J151" s="25">
        <f>IF(A151="","",SUMIFS(Horas!$D$2:$D$301,Horas!$B$2:$B$301,A151,Horas!$E$2:$E$301,Parametros!$B$1))</f>
        <v/>
      </c>
      <c r="K151" s="24">
        <f>IF(OR(A151="",G151&lt;&gt;"Activo"),"",IF(N(J151)=0,"Sin horas",E151/J151))</f>
        <v/>
      </c>
      <c r="L151" s="26">
        <f>IF(OR(A151="",G151&lt;&gt;"Activo"),"",IFERROR(E151/Tablero!$B$6,0))</f>
        <v/>
      </c>
      <c r="M151">
        <f>IF(NOT(ISNUMBER(K151)),"",IF(K151&lt;Parametros!$B$18,"BAJA",IF(K151&lt;Parametros!$B$18*1.25,"AJUSTADA","SANA")))</f>
        <v/>
      </c>
    </row>
    <row r="152">
      <c r="A152" s="19" t="n"/>
      <c r="B152" s="19" t="n"/>
      <c r="C152" s="19" t="n"/>
      <c r="D152" s="19" t="n"/>
      <c r="E152" s="20" t="n"/>
      <c r="F152" s="17" t="n"/>
      <c r="G152" s="19" t="n"/>
      <c r="H152" s="19" t="n"/>
      <c r="I152" s="19" t="n"/>
      <c r="J152" s="25">
        <f>IF(A152="","",SUMIFS(Horas!$D$2:$D$301,Horas!$B$2:$B$301,A152,Horas!$E$2:$E$301,Parametros!$B$1))</f>
        <v/>
      </c>
      <c r="K152" s="24">
        <f>IF(OR(A152="",G152&lt;&gt;"Activo"),"",IF(N(J152)=0,"Sin horas",E152/J152))</f>
        <v/>
      </c>
      <c r="L152" s="26">
        <f>IF(OR(A152="",G152&lt;&gt;"Activo"),"",IFERROR(E152/Tablero!$B$6,0))</f>
        <v/>
      </c>
      <c r="M152">
        <f>IF(NOT(ISNUMBER(K152)),"",IF(K152&lt;Parametros!$B$18,"BAJA",IF(K152&lt;Parametros!$B$18*1.25,"AJUSTADA","SANA")))</f>
        <v/>
      </c>
    </row>
    <row r="153">
      <c r="A153" s="19" t="n"/>
      <c r="B153" s="19" t="n"/>
      <c r="C153" s="19" t="n"/>
      <c r="D153" s="19" t="n"/>
      <c r="E153" s="20" t="n"/>
      <c r="F153" s="17" t="n"/>
      <c r="G153" s="19" t="n"/>
      <c r="H153" s="19" t="n"/>
      <c r="I153" s="19" t="n"/>
      <c r="J153" s="25">
        <f>IF(A153="","",SUMIFS(Horas!$D$2:$D$301,Horas!$B$2:$B$301,A153,Horas!$E$2:$E$301,Parametros!$B$1))</f>
        <v/>
      </c>
      <c r="K153" s="24">
        <f>IF(OR(A153="",G153&lt;&gt;"Activo"),"",IF(N(J153)=0,"Sin horas",E153/J153))</f>
        <v/>
      </c>
      <c r="L153" s="26">
        <f>IF(OR(A153="",G153&lt;&gt;"Activo"),"",IFERROR(E153/Tablero!$B$6,0))</f>
        <v/>
      </c>
      <c r="M153">
        <f>IF(NOT(ISNUMBER(K153)),"",IF(K153&lt;Parametros!$B$18,"BAJA",IF(K153&lt;Parametros!$B$18*1.25,"AJUSTADA","SANA")))</f>
        <v/>
      </c>
    </row>
    <row r="154">
      <c r="A154" s="19" t="n"/>
      <c r="B154" s="19" t="n"/>
      <c r="C154" s="19" t="n"/>
      <c r="D154" s="19" t="n"/>
      <c r="E154" s="20" t="n"/>
      <c r="F154" s="17" t="n"/>
      <c r="G154" s="19" t="n"/>
      <c r="H154" s="19" t="n"/>
      <c r="I154" s="19" t="n"/>
      <c r="J154" s="25">
        <f>IF(A154="","",SUMIFS(Horas!$D$2:$D$301,Horas!$B$2:$B$301,A154,Horas!$E$2:$E$301,Parametros!$B$1))</f>
        <v/>
      </c>
      <c r="K154" s="24">
        <f>IF(OR(A154="",G154&lt;&gt;"Activo"),"",IF(N(J154)=0,"Sin horas",E154/J154))</f>
        <v/>
      </c>
      <c r="L154" s="26">
        <f>IF(OR(A154="",G154&lt;&gt;"Activo"),"",IFERROR(E154/Tablero!$B$6,0))</f>
        <v/>
      </c>
      <c r="M154">
        <f>IF(NOT(ISNUMBER(K154)),"",IF(K154&lt;Parametros!$B$18,"BAJA",IF(K154&lt;Parametros!$B$18*1.25,"AJUSTADA","SANA")))</f>
        <v/>
      </c>
    </row>
    <row r="155">
      <c r="A155" s="19" t="n"/>
      <c r="B155" s="19" t="n"/>
      <c r="C155" s="19" t="n"/>
      <c r="D155" s="19" t="n"/>
      <c r="E155" s="20" t="n"/>
      <c r="F155" s="17" t="n"/>
      <c r="G155" s="19" t="n"/>
      <c r="H155" s="19" t="n"/>
      <c r="I155" s="19" t="n"/>
      <c r="J155" s="25">
        <f>IF(A155="","",SUMIFS(Horas!$D$2:$D$301,Horas!$B$2:$B$301,A155,Horas!$E$2:$E$301,Parametros!$B$1))</f>
        <v/>
      </c>
      <c r="K155" s="24">
        <f>IF(OR(A155="",G155&lt;&gt;"Activo"),"",IF(N(J155)=0,"Sin horas",E155/J155))</f>
        <v/>
      </c>
      <c r="L155" s="26">
        <f>IF(OR(A155="",G155&lt;&gt;"Activo"),"",IFERROR(E155/Tablero!$B$6,0))</f>
        <v/>
      </c>
      <c r="M155">
        <f>IF(NOT(ISNUMBER(K155)),"",IF(K155&lt;Parametros!$B$18,"BAJA",IF(K155&lt;Parametros!$B$18*1.25,"AJUSTADA","SANA")))</f>
        <v/>
      </c>
    </row>
    <row r="156">
      <c r="A156" s="19" t="n"/>
      <c r="B156" s="19" t="n"/>
      <c r="C156" s="19" t="n"/>
      <c r="D156" s="19" t="n"/>
      <c r="E156" s="20" t="n"/>
      <c r="F156" s="17" t="n"/>
      <c r="G156" s="19" t="n"/>
      <c r="H156" s="19" t="n"/>
      <c r="I156" s="19" t="n"/>
      <c r="J156" s="25">
        <f>IF(A156="","",SUMIFS(Horas!$D$2:$D$301,Horas!$B$2:$B$301,A156,Horas!$E$2:$E$301,Parametros!$B$1))</f>
        <v/>
      </c>
      <c r="K156" s="24">
        <f>IF(OR(A156="",G156&lt;&gt;"Activo"),"",IF(N(J156)=0,"Sin horas",E156/J156))</f>
        <v/>
      </c>
      <c r="L156" s="26">
        <f>IF(OR(A156="",G156&lt;&gt;"Activo"),"",IFERROR(E156/Tablero!$B$6,0))</f>
        <v/>
      </c>
      <c r="M156">
        <f>IF(NOT(ISNUMBER(K156)),"",IF(K156&lt;Parametros!$B$18,"BAJA",IF(K156&lt;Parametros!$B$18*1.25,"AJUSTADA","SANA")))</f>
        <v/>
      </c>
    </row>
    <row r="157">
      <c r="A157" s="19" t="n"/>
      <c r="B157" s="19" t="n"/>
      <c r="C157" s="19" t="n"/>
      <c r="D157" s="19" t="n"/>
      <c r="E157" s="20" t="n"/>
      <c r="F157" s="17" t="n"/>
      <c r="G157" s="19" t="n"/>
      <c r="H157" s="19" t="n"/>
      <c r="I157" s="19" t="n"/>
      <c r="J157" s="25">
        <f>IF(A157="","",SUMIFS(Horas!$D$2:$D$301,Horas!$B$2:$B$301,A157,Horas!$E$2:$E$301,Parametros!$B$1))</f>
        <v/>
      </c>
      <c r="K157" s="24">
        <f>IF(OR(A157="",G157&lt;&gt;"Activo"),"",IF(N(J157)=0,"Sin horas",E157/J157))</f>
        <v/>
      </c>
      <c r="L157" s="26">
        <f>IF(OR(A157="",G157&lt;&gt;"Activo"),"",IFERROR(E157/Tablero!$B$6,0))</f>
        <v/>
      </c>
      <c r="M157">
        <f>IF(NOT(ISNUMBER(K157)),"",IF(K157&lt;Parametros!$B$18,"BAJA",IF(K157&lt;Parametros!$B$18*1.25,"AJUSTADA","SANA")))</f>
        <v/>
      </c>
    </row>
    <row r="158">
      <c r="A158" s="19" t="n"/>
      <c r="B158" s="19" t="n"/>
      <c r="C158" s="19" t="n"/>
      <c r="D158" s="19" t="n"/>
      <c r="E158" s="20" t="n"/>
      <c r="F158" s="17" t="n"/>
      <c r="G158" s="19" t="n"/>
      <c r="H158" s="19" t="n"/>
      <c r="I158" s="19" t="n"/>
      <c r="J158" s="25">
        <f>IF(A158="","",SUMIFS(Horas!$D$2:$D$301,Horas!$B$2:$B$301,A158,Horas!$E$2:$E$301,Parametros!$B$1))</f>
        <v/>
      </c>
      <c r="K158" s="24">
        <f>IF(OR(A158="",G158&lt;&gt;"Activo"),"",IF(N(J158)=0,"Sin horas",E158/J158))</f>
        <v/>
      </c>
      <c r="L158" s="26">
        <f>IF(OR(A158="",G158&lt;&gt;"Activo"),"",IFERROR(E158/Tablero!$B$6,0))</f>
        <v/>
      </c>
      <c r="M158">
        <f>IF(NOT(ISNUMBER(K158)),"",IF(K158&lt;Parametros!$B$18,"BAJA",IF(K158&lt;Parametros!$B$18*1.25,"AJUSTADA","SANA")))</f>
        <v/>
      </c>
    </row>
    <row r="159">
      <c r="A159" s="19" t="n"/>
      <c r="B159" s="19" t="n"/>
      <c r="C159" s="19" t="n"/>
      <c r="D159" s="19" t="n"/>
      <c r="E159" s="20" t="n"/>
      <c r="F159" s="17" t="n"/>
      <c r="G159" s="19" t="n"/>
      <c r="H159" s="19" t="n"/>
      <c r="I159" s="19" t="n"/>
      <c r="J159" s="25">
        <f>IF(A159="","",SUMIFS(Horas!$D$2:$D$301,Horas!$B$2:$B$301,A159,Horas!$E$2:$E$301,Parametros!$B$1))</f>
        <v/>
      </c>
      <c r="K159" s="24">
        <f>IF(OR(A159="",G159&lt;&gt;"Activo"),"",IF(N(J159)=0,"Sin horas",E159/J159))</f>
        <v/>
      </c>
      <c r="L159" s="26">
        <f>IF(OR(A159="",G159&lt;&gt;"Activo"),"",IFERROR(E159/Tablero!$B$6,0))</f>
        <v/>
      </c>
      <c r="M159">
        <f>IF(NOT(ISNUMBER(K159)),"",IF(K159&lt;Parametros!$B$18,"BAJA",IF(K159&lt;Parametros!$B$18*1.25,"AJUSTADA","SANA")))</f>
        <v/>
      </c>
    </row>
    <row r="160">
      <c r="A160" s="19" t="n"/>
      <c r="B160" s="19" t="n"/>
      <c r="C160" s="19" t="n"/>
      <c r="D160" s="19" t="n"/>
      <c r="E160" s="20" t="n"/>
      <c r="F160" s="17" t="n"/>
      <c r="G160" s="19" t="n"/>
      <c r="H160" s="19" t="n"/>
      <c r="I160" s="19" t="n"/>
      <c r="J160" s="25">
        <f>IF(A160="","",SUMIFS(Horas!$D$2:$D$301,Horas!$B$2:$B$301,A160,Horas!$E$2:$E$301,Parametros!$B$1))</f>
        <v/>
      </c>
      <c r="K160" s="24">
        <f>IF(OR(A160="",G160&lt;&gt;"Activo"),"",IF(N(J160)=0,"Sin horas",E160/J160))</f>
        <v/>
      </c>
      <c r="L160" s="26">
        <f>IF(OR(A160="",G160&lt;&gt;"Activo"),"",IFERROR(E160/Tablero!$B$6,0))</f>
        <v/>
      </c>
      <c r="M160">
        <f>IF(NOT(ISNUMBER(K160)),"",IF(K160&lt;Parametros!$B$18,"BAJA",IF(K160&lt;Parametros!$B$18*1.25,"AJUSTADA","SANA")))</f>
        <v/>
      </c>
    </row>
    <row r="161">
      <c r="A161" s="19" t="n"/>
      <c r="B161" s="19" t="n"/>
      <c r="C161" s="19" t="n"/>
      <c r="D161" s="19" t="n"/>
      <c r="E161" s="20" t="n"/>
      <c r="F161" s="17" t="n"/>
      <c r="G161" s="19" t="n"/>
      <c r="H161" s="19" t="n"/>
      <c r="I161" s="19" t="n"/>
      <c r="J161" s="25">
        <f>IF(A161="","",SUMIFS(Horas!$D$2:$D$301,Horas!$B$2:$B$301,A161,Horas!$E$2:$E$301,Parametros!$B$1))</f>
        <v/>
      </c>
      <c r="K161" s="24">
        <f>IF(OR(A161="",G161&lt;&gt;"Activo"),"",IF(N(J161)=0,"Sin horas",E161/J161))</f>
        <v/>
      </c>
      <c r="L161" s="26">
        <f>IF(OR(A161="",G161&lt;&gt;"Activo"),"",IFERROR(E161/Tablero!$B$6,0))</f>
        <v/>
      </c>
      <c r="M161">
        <f>IF(NOT(ISNUMBER(K161)),"",IF(K161&lt;Parametros!$B$18,"BAJA",IF(K161&lt;Parametros!$B$18*1.25,"AJUSTADA","SANA")))</f>
        <v/>
      </c>
    </row>
    <row r="162">
      <c r="A162" s="19" t="n"/>
      <c r="B162" s="19" t="n"/>
      <c r="C162" s="19" t="n"/>
      <c r="D162" s="19" t="n"/>
      <c r="E162" s="20" t="n"/>
      <c r="F162" s="17" t="n"/>
      <c r="G162" s="19" t="n"/>
      <c r="H162" s="19" t="n"/>
      <c r="I162" s="19" t="n"/>
      <c r="J162" s="25">
        <f>IF(A162="","",SUMIFS(Horas!$D$2:$D$301,Horas!$B$2:$B$301,A162,Horas!$E$2:$E$301,Parametros!$B$1))</f>
        <v/>
      </c>
      <c r="K162" s="24">
        <f>IF(OR(A162="",G162&lt;&gt;"Activo"),"",IF(N(J162)=0,"Sin horas",E162/J162))</f>
        <v/>
      </c>
      <c r="L162" s="26">
        <f>IF(OR(A162="",G162&lt;&gt;"Activo"),"",IFERROR(E162/Tablero!$B$6,0))</f>
        <v/>
      </c>
      <c r="M162">
        <f>IF(NOT(ISNUMBER(K162)),"",IF(K162&lt;Parametros!$B$18,"BAJA",IF(K162&lt;Parametros!$B$18*1.25,"AJUSTADA","SANA")))</f>
        <v/>
      </c>
    </row>
    <row r="163">
      <c r="A163" s="19" t="n"/>
      <c r="B163" s="19" t="n"/>
      <c r="C163" s="19" t="n"/>
      <c r="D163" s="19" t="n"/>
      <c r="E163" s="20" t="n"/>
      <c r="F163" s="17" t="n"/>
      <c r="G163" s="19" t="n"/>
      <c r="H163" s="19" t="n"/>
      <c r="I163" s="19" t="n"/>
      <c r="J163" s="25">
        <f>IF(A163="","",SUMIFS(Horas!$D$2:$D$301,Horas!$B$2:$B$301,A163,Horas!$E$2:$E$301,Parametros!$B$1))</f>
        <v/>
      </c>
      <c r="K163" s="24">
        <f>IF(OR(A163="",G163&lt;&gt;"Activo"),"",IF(N(J163)=0,"Sin horas",E163/J163))</f>
        <v/>
      </c>
      <c r="L163" s="26">
        <f>IF(OR(A163="",G163&lt;&gt;"Activo"),"",IFERROR(E163/Tablero!$B$6,0))</f>
        <v/>
      </c>
      <c r="M163">
        <f>IF(NOT(ISNUMBER(K163)),"",IF(K163&lt;Parametros!$B$18,"BAJA",IF(K163&lt;Parametros!$B$18*1.25,"AJUSTADA","SANA")))</f>
        <v/>
      </c>
    </row>
    <row r="164">
      <c r="A164" s="19" t="n"/>
      <c r="B164" s="19" t="n"/>
      <c r="C164" s="19" t="n"/>
      <c r="D164" s="19" t="n"/>
      <c r="E164" s="20" t="n"/>
      <c r="F164" s="17" t="n"/>
      <c r="G164" s="19" t="n"/>
      <c r="H164" s="19" t="n"/>
      <c r="I164" s="19" t="n"/>
      <c r="J164" s="25">
        <f>IF(A164="","",SUMIFS(Horas!$D$2:$D$301,Horas!$B$2:$B$301,A164,Horas!$E$2:$E$301,Parametros!$B$1))</f>
        <v/>
      </c>
      <c r="K164" s="24">
        <f>IF(OR(A164="",G164&lt;&gt;"Activo"),"",IF(N(J164)=0,"Sin horas",E164/J164))</f>
        <v/>
      </c>
      <c r="L164" s="26">
        <f>IF(OR(A164="",G164&lt;&gt;"Activo"),"",IFERROR(E164/Tablero!$B$6,0))</f>
        <v/>
      </c>
      <c r="M164">
        <f>IF(NOT(ISNUMBER(K164)),"",IF(K164&lt;Parametros!$B$18,"BAJA",IF(K164&lt;Parametros!$B$18*1.25,"AJUSTADA","SANA")))</f>
        <v/>
      </c>
    </row>
    <row r="165">
      <c r="A165" s="19" t="n"/>
      <c r="B165" s="19" t="n"/>
      <c r="C165" s="19" t="n"/>
      <c r="D165" s="19" t="n"/>
      <c r="E165" s="20" t="n"/>
      <c r="F165" s="17" t="n"/>
      <c r="G165" s="19" t="n"/>
      <c r="H165" s="19" t="n"/>
      <c r="I165" s="19" t="n"/>
      <c r="J165" s="25">
        <f>IF(A165="","",SUMIFS(Horas!$D$2:$D$301,Horas!$B$2:$B$301,A165,Horas!$E$2:$E$301,Parametros!$B$1))</f>
        <v/>
      </c>
      <c r="K165" s="24">
        <f>IF(OR(A165="",G165&lt;&gt;"Activo"),"",IF(N(J165)=0,"Sin horas",E165/J165))</f>
        <v/>
      </c>
      <c r="L165" s="26">
        <f>IF(OR(A165="",G165&lt;&gt;"Activo"),"",IFERROR(E165/Tablero!$B$6,0))</f>
        <v/>
      </c>
      <c r="M165">
        <f>IF(NOT(ISNUMBER(K165)),"",IF(K165&lt;Parametros!$B$18,"BAJA",IF(K165&lt;Parametros!$B$18*1.25,"AJUSTADA","SANA")))</f>
        <v/>
      </c>
    </row>
    <row r="166">
      <c r="A166" s="19" t="n"/>
      <c r="B166" s="19" t="n"/>
      <c r="C166" s="19" t="n"/>
      <c r="D166" s="19" t="n"/>
      <c r="E166" s="20" t="n"/>
      <c r="F166" s="17" t="n"/>
      <c r="G166" s="19" t="n"/>
      <c r="H166" s="19" t="n"/>
      <c r="I166" s="19" t="n"/>
      <c r="J166" s="25">
        <f>IF(A166="","",SUMIFS(Horas!$D$2:$D$301,Horas!$B$2:$B$301,A166,Horas!$E$2:$E$301,Parametros!$B$1))</f>
        <v/>
      </c>
      <c r="K166" s="24">
        <f>IF(OR(A166="",G166&lt;&gt;"Activo"),"",IF(N(J166)=0,"Sin horas",E166/J166))</f>
        <v/>
      </c>
      <c r="L166" s="26">
        <f>IF(OR(A166="",G166&lt;&gt;"Activo"),"",IFERROR(E166/Tablero!$B$6,0))</f>
        <v/>
      </c>
      <c r="M166">
        <f>IF(NOT(ISNUMBER(K166)),"",IF(K166&lt;Parametros!$B$18,"BAJA",IF(K166&lt;Parametros!$B$18*1.25,"AJUSTADA","SANA")))</f>
        <v/>
      </c>
    </row>
    <row r="167">
      <c r="A167" s="19" t="n"/>
      <c r="B167" s="19" t="n"/>
      <c r="C167" s="19" t="n"/>
      <c r="D167" s="19" t="n"/>
      <c r="E167" s="20" t="n"/>
      <c r="F167" s="17" t="n"/>
      <c r="G167" s="19" t="n"/>
      <c r="H167" s="19" t="n"/>
      <c r="I167" s="19" t="n"/>
      <c r="J167" s="25">
        <f>IF(A167="","",SUMIFS(Horas!$D$2:$D$301,Horas!$B$2:$B$301,A167,Horas!$E$2:$E$301,Parametros!$B$1))</f>
        <v/>
      </c>
      <c r="K167" s="24">
        <f>IF(OR(A167="",G167&lt;&gt;"Activo"),"",IF(N(J167)=0,"Sin horas",E167/J167))</f>
        <v/>
      </c>
      <c r="L167" s="26">
        <f>IF(OR(A167="",G167&lt;&gt;"Activo"),"",IFERROR(E167/Tablero!$B$6,0))</f>
        <v/>
      </c>
      <c r="M167">
        <f>IF(NOT(ISNUMBER(K167)),"",IF(K167&lt;Parametros!$B$18,"BAJA",IF(K167&lt;Parametros!$B$18*1.25,"AJUSTADA","SANA")))</f>
        <v/>
      </c>
    </row>
    <row r="168">
      <c r="A168" s="19" t="n"/>
      <c r="B168" s="19" t="n"/>
      <c r="C168" s="19" t="n"/>
      <c r="D168" s="19" t="n"/>
      <c r="E168" s="20" t="n"/>
      <c r="F168" s="17" t="n"/>
      <c r="G168" s="19" t="n"/>
      <c r="H168" s="19" t="n"/>
      <c r="I168" s="19" t="n"/>
      <c r="J168" s="25">
        <f>IF(A168="","",SUMIFS(Horas!$D$2:$D$301,Horas!$B$2:$B$301,A168,Horas!$E$2:$E$301,Parametros!$B$1))</f>
        <v/>
      </c>
      <c r="K168" s="24">
        <f>IF(OR(A168="",G168&lt;&gt;"Activo"),"",IF(N(J168)=0,"Sin horas",E168/J168))</f>
        <v/>
      </c>
      <c r="L168" s="26">
        <f>IF(OR(A168="",G168&lt;&gt;"Activo"),"",IFERROR(E168/Tablero!$B$6,0))</f>
        <v/>
      </c>
      <c r="M168">
        <f>IF(NOT(ISNUMBER(K168)),"",IF(K168&lt;Parametros!$B$18,"BAJA",IF(K168&lt;Parametros!$B$18*1.25,"AJUSTADA","SANA")))</f>
        <v/>
      </c>
    </row>
    <row r="169">
      <c r="A169" s="19" t="n"/>
      <c r="B169" s="19" t="n"/>
      <c r="C169" s="19" t="n"/>
      <c r="D169" s="19" t="n"/>
      <c r="E169" s="20" t="n"/>
      <c r="F169" s="17" t="n"/>
      <c r="G169" s="19" t="n"/>
      <c r="H169" s="19" t="n"/>
      <c r="I169" s="19" t="n"/>
      <c r="J169" s="25">
        <f>IF(A169="","",SUMIFS(Horas!$D$2:$D$301,Horas!$B$2:$B$301,A169,Horas!$E$2:$E$301,Parametros!$B$1))</f>
        <v/>
      </c>
      <c r="K169" s="24">
        <f>IF(OR(A169="",G169&lt;&gt;"Activo"),"",IF(N(J169)=0,"Sin horas",E169/J169))</f>
        <v/>
      </c>
      <c r="L169" s="26">
        <f>IF(OR(A169="",G169&lt;&gt;"Activo"),"",IFERROR(E169/Tablero!$B$6,0))</f>
        <v/>
      </c>
      <c r="M169">
        <f>IF(NOT(ISNUMBER(K169)),"",IF(K169&lt;Parametros!$B$18,"BAJA",IF(K169&lt;Parametros!$B$18*1.25,"AJUSTADA","SANA")))</f>
        <v/>
      </c>
    </row>
    <row r="170">
      <c r="A170" s="19" t="n"/>
      <c r="B170" s="19" t="n"/>
      <c r="C170" s="19" t="n"/>
      <c r="D170" s="19" t="n"/>
      <c r="E170" s="20" t="n"/>
      <c r="F170" s="17" t="n"/>
      <c r="G170" s="19" t="n"/>
      <c r="H170" s="19" t="n"/>
      <c r="I170" s="19" t="n"/>
      <c r="J170" s="25">
        <f>IF(A170="","",SUMIFS(Horas!$D$2:$D$301,Horas!$B$2:$B$301,A170,Horas!$E$2:$E$301,Parametros!$B$1))</f>
        <v/>
      </c>
      <c r="K170" s="24">
        <f>IF(OR(A170="",G170&lt;&gt;"Activo"),"",IF(N(J170)=0,"Sin horas",E170/J170))</f>
        <v/>
      </c>
      <c r="L170" s="26">
        <f>IF(OR(A170="",G170&lt;&gt;"Activo"),"",IFERROR(E170/Tablero!$B$6,0))</f>
        <v/>
      </c>
      <c r="M170">
        <f>IF(NOT(ISNUMBER(K170)),"",IF(K170&lt;Parametros!$B$18,"BAJA",IF(K170&lt;Parametros!$B$18*1.25,"AJUSTADA","SANA")))</f>
        <v/>
      </c>
    </row>
    <row r="171">
      <c r="A171" s="19" t="n"/>
      <c r="B171" s="19" t="n"/>
      <c r="C171" s="19" t="n"/>
      <c r="D171" s="19" t="n"/>
      <c r="E171" s="20" t="n"/>
      <c r="F171" s="17" t="n"/>
      <c r="G171" s="19" t="n"/>
      <c r="H171" s="19" t="n"/>
      <c r="I171" s="19" t="n"/>
      <c r="J171" s="25">
        <f>IF(A171="","",SUMIFS(Horas!$D$2:$D$301,Horas!$B$2:$B$301,A171,Horas!$E$2:$E$301,Parametros!$B$1))</f>
        <v/>
      </c>
      <c r="K171" s="24">
        <f>IF(OR(A171="",G171&lt;&gt;"Activo"),"",IF(N(J171)=0,"Sin horas",E171/J171))</f>
        <v/>
      </c>
      <c r="L171" s="26">
        <f>IF(OR(A171="",G171&lt;&gt;"Activo"),"",IFERROR(E171/Tablero!$B$6,0))</f>
        <v/>
      </c>
      <c r="M171">
        <f>IF(NOT(ISNUMBER(K171)),"",IF(K171&lt;Parametros!$B$18,"BAJA",IF(K171&lt;Parametros!$B$18*1.25,"AJUSTADA","SANA")))</f>
        <v/>
      </c>
    </row>
    <row r="172">
      <c r="A172" s="19" t="n"/>
      <c r="B172" s="19" t="n"/>
      <c r="C172" s="19" t="n"/>
      <c r="D172" s="19" t="n"/>
      <c r="E172" s="20" t="n"/>
      <c r="F172" s="17" t="n"/>
      <c r="G172" s="19" t="n"/>
      <c r="H172" s="19" t="n"/>
      <c r="I172" s="19" t="n"/>
      <c r="J172" s="25">
        <f>IF(A172="","",SUMIFS(Horas!$D$2:$D$301,Horas!$B$2:$B$301,A172,Horas!$E$2:$E$301,Parametros!$B$1))</f>
        <v/>
      </c>
      <c r="K172" s="24">
        <f>IF(OR(A172="",G172&lt;&gt;"Activo"),"",IF(N(J172)=0,"Sin horas",E172/J172))</f>
        <v/>
      </c>
      <c r="L172" s="26">
        <f>IF(OR(A172="",G172&lt;&gt;"Activo"),"",IFERROR(E172/Tablero!$B$6,0))</f>
        <v/>
      </c>
      <c r="M172">
        <f>IF(NOT(ISNUMBER(K172)),"",IF(K172&lt;Parametros!$B$18,"BAJA",IF(K172&lt;Parametros!$B$18*1.25,"AJUSTADA","SANA")))</f>
        <v/>
      </c>
    </row>
    <row r="173">
      <c r="A173" s="19" t="n"/>
      <c r="B173" s="19" t="n"/>
      <c r="C173" s="19" t="n"/>
      <c r="D173" s="19" t="n"/>
      <c r="E173" s="20" t="n"/>
      <c r="F173" s="17" t="n"/>
      <c r="G173" s="19" t="n"/>
      <c r="H173" s="19" t="n"/>
      <c r="I173" s="19" t="n"/>
      <c r="J173" s="25">
        <f>IF(A173="","",SUMIFS(Horas!$D$2:$D$301,Horas!$B$2:$B$301,A173,Horas!$E$2:$E$301,Parametros!$B$1))</f>
        <v/>
      </c>
      <c r="K173" s="24">
        <f>IF(OR(A173="",G173&lt;&gt;"Activo"),"",IF(N(J173)=0,"Sin horas",E173/J173))</f>
        <v/>
      </c>
      <c r="L173" s="26">
        <f>IF(OR(A173="",G173&lt;&gt;"Activo"),"",IFERROR(E173/Tablero!$B$6,0))</f>
        <v/>
      </c>
      <c r="M173">
        <f>IF(NOT(ISNUMBER(K173)),"",IF(K173&lt;Parametros!$B$18,"BAJA",IF(K173&lt;Parametros!$B$18*1.25,"AJUSTADA","SANA")))</f>
        <v/>
      </c>
    </row>
    <row r="174">
      <c r="A174" s="19" t="n"/>
      <c r="B174" s="19" t="n"/>
      <c r="C174" s="19" t="n"/>
      <c r="D174" s="19" t="n"/>
      <c r="E174" s="20" t="n"/>
      <c r="F174" s="17" t="n"/>
      <c r="G174" s="19" t="n"/>
      <c r="H174" s="19" t="n"/>
      <c r="I174" s="19" t="n"/>
      <c r="J174" s="25">
        <f>IF(A174="","",SUMIFS(Horas!$D$2:$D$301,Horas!$B$2:$B$301,A174,Horas!$E$2:$E$301,Parametros!$B$1))</f>
        <v/>
      </c>
      <c r="K174" s="24">
        <f>IF(OR(A174="",G174&lt;&gt;"Activo"),"",IF(N(J174)=0,"Sin horas",E174/J174))</f>
        <v/>
      </c>
      <c r="L174" s="26">
        <f>IF(OR(A174="",G174&lt;&gt;"Activo"),"",IFERROR(E174/Tablero!$B$6,0))</f>
        <v/>
      </c>
      <c r="M174">
        <f>IF(NOT(ISNUMBER(K174)),"",IF(K174&lt;Parametros!$B$18,"BAJA",IF(K174&lt;Parametros!$B$18*1.25,"AJUSTADA","SANA")))</f>
        <v/>
      </c>
    </row>
    <row r="175">
      <c r="A175" s="19" t="n"/>
      <c r="B175" s="19" t="n"/>
      <c r="C175" s="19" t="n"/>
      <c r="D175" s="19" t="n"/>
      <c r="E175" s="20" t="n"/>
      <c r="F175" s="17" t="n"/>
      <c r="G175" s="19" t="n"/>
      <c r="H175" s="19" t="n"/>
      <c r="I175" s="19" t="n"/>
      <c r="J175" s="25">
        <f>IF(A175="","",SUMIFS(Horas!$D$2:$D$301,Horas!$B$2:$B$301,A175,Horas!$E$2:$E$301,Parametros!$B$1))</f>
        <v/>
      </c>
      <c r="K175" s="24">
        <f>IF(OR(A175="",G175&lt;&gt;"Activo"),"",IF(N(J175)=0,"Sin horas",E175/J175))</f>
        <v/>
      </c>
      <c r="L175" s="26">
        <f>IF(OR(A175="",G175&lt;&gt;"Activo"),"",IFERROR(E175/Tablero!$B$6,0))</f>
        <v/>
      </c>
      <c r="M175">
        <f>IF(NOT(ISNUMBER(K175)),"",IF(K175&lt;Parametros!$B$18,"BAJA",IF(K175&lt;Parametros!$B$18*1.25,"AJUSTADA","SANA")))</f>
        <v/>
      </c>
    </row>
    <row r="176">
      <c r="A176" s="19" t="n"/>
      <c r="B176" s="19" t="n"/>
      <c r="C176" s="19" t="n"/>
      <c r="D176" s="19" t="n"/>
      <c r="E176" s="20" t="n"/>
      <c r="F176" s="17" t="n"/>
      <c r="G176" s="19" t="n"/>
      <c r="H176" s="19" t="n"/>
      <c r="I176" s="19" t="n"/>
      <c r="J176" s="25">
        <f>IF(A176="","",SUMIFS(Horas!$D$2:$D$301,Horas!$B$2:$B$301,A176,Horas!$E$2:$E$301,Parametros!$B$1))</f>
        <v/>
      </c>
      <c r="K176" s="24">
        <f>IF(OR(A176="",G176&lt;&gt;"Activo"),"",IF(N(J176)=0,"Sin horas",E176/J176))</f>
        <v/>
      </c>
      <c r="L176" s="26">
        <f>IF(OR(A176="",G176&lt;&gt;"Activo"),"",IFERROR(E176/Tablero!$B$6,0))</f>
        <v/>
      </c>
      <c r="M176">
        <f>IF(NOT(ISNUMBER(K176)),"",IF(K176&lt;Parametros!$B$18,"BAJA",IF(K176&lt;Parametros!$B$18*1.25,"AJUSTADA","SANA")))</f>
        <v/>
      </c>
    </row>
    <row r="177">
      <c r="A177" s="19" t="n"/>
      <c r="B177" s="19" t="n"/>
      <c r="C177" s="19" t="n"/>
      <c r="D177" s="19" t="n"/>
      <c r="E177" s="20" t="n"/>
      <c r="F177" s="17" t="n"/>
      <c r="G177" s="19" t="n"/>
      <c r="H177" s="19" t="n"/>
      <c r="I177" s="19" t="n"/>
      <c r="J177" s="25">
        <f>IF(A177="","",SUMIFS(Horas!$D$2:$D$301,Horas!$B$2:$B$301,A177,Horas!$E$2:$E$301,Parametros!$B$1))</f>
        <v/>
      </c>
      <c r="K177" s="24">
        <f>IF(OR(A177="",G177&lt;&gt;"Activo"),"",IF(N(J177)=0,"Sin horas",E177/J177))</f>
        <v/>
      </c>
      <c r="L177" s="26">
        <f>IF(OR(A177="",G177&lt;&gt;"Activo"),"",IFERROR(E177/Tablero!$B$6,0))</f>
        <v/>
      </c>
      <c r="M177">
        <f>IF(NOT(ISNUMBER(K177)),"",IF(K177&lt;Parametros!$B$18,"BAJA",IF(K177&lt;Parametros!$B$18*1.25,"AJUSTADA","SANA")))</f>
        <v/>
      </c>
    </row>
    <row r="178">
      <c r="A178" s="19" t="n"/>
      <c r="B178" s="19" t="n"/>
      <c r="C178" s="19" t="n"/>
      <c r="D178" s="19" t="n"/>
      <c r="E178" s="20" t="n"/>
      <c r="F178" s="17" t="n"/>
      <c r="G178" s="19" t="n"/>
      <c r="H178" s="19" t="n"/>
      <c r="I178" s="19" t="n"/>
      <c r="J178" s="25">
        <f>IF(A178="","",SUMIFS(Horas!$D$2:$D$301,Horas!$B$2:$B$301,A178,Horas!$E$2:$E$301,Parametros!$B$1))</f>
        <v/>
      </c>
      <c r="K178" s="24">
        <f>IF(OR(A178="",G178&lt;&gt;"Activo"),"",IF(N(J178)=0,"Sin horas",E178/J178))</f>
        <v/>
      </c>
      <c r="L178" s="26">
        <f>IF(OR(A178="",G178&lt;&gt;"Activo"),"",IFERROR(E178/Tablero!$B$6,0))</f>
        <v/>
      </c>
      <c r="M178">
        <f>IF(NOT(ISNUMBER(K178)),"",IF(K178&lt;Parametros!$B$18,"BAJA",IF(K178&lt;Parametros!$B$18*1.25,"AJUSTADA","SANA")))</f>
        <v/>
      </c>
    </row>
    <row r="179">
      <c r="A179" s="19" t="n"/>
      <c r="B179" s="19" t="n"/>
      <c r="C179" s="19" t="n"/>
      <c r="D179" s="19" t="n"/>
      <c r="E179" s="20" t="n"/>
      <c r="F179" s="17" t="n"/>
      <c r="G179" s="19" t="n"/>
      <c r="H179" s="19" t="n"/>
      <c r="I179" s="19" t="n"/>
      <c r="J179" s="25">
        <f>IF(A179="","",SUMIFS(Horas!$D$2:$D$301,Horas!$B$2:$B$301,A179,Horas!$E$2:$E$301,Parametros!$B$1))</f>
        <v/>
      </c>
      <c r="K179" s="24">
        <f>IF(OR(A179="",G179&lt;&gt;"Activo"),"",IF(N(J179)=0,"Sin horas",E179/J179))</f>
        <v/>
      </c>
      <c r="L179" s="26">
        <f>IF(OR(A179="",G179&lt;&gt;"Activo"),"",IFERROR(E179/Tablero!$B$6,0))</f>
        <v/>
      </c>
      <c r="M179">
        <f>IF(NOT(ISNUMBER(K179)),"",IF(K179&lt;Parametros!$B$18,"BAJA",IF(K179&lt;Parametros!$B$18*1.25,"AJUSTADA","SANA")))</f>
        <v/>
      </c>
    </row>
    <row r="180">
      <c r="A180" s="19" t="n"/>
      <c r="B180" s="19" t="n"/>
      <c r="C180" s="19" t="n"/>
      <c r="D180" s="19" t="n"/>
      <c r="E180" s="20" t="n"/>
      <c r="F180" s="17" t="n"/>
      <c r="G180" s="19" t="n"/>
      <c r="H180" s="19" t="n"/>
      <c r="I180" s="19" t="n"/>
      <c r="J180" s="25">
        <f>IF(A180="","",SUMIFS(Horas!$D$2:$D$301,Horas!$B$2:$B$301,A180,Horas!$E$2:$E$301,Parametros!$B$1))</f>
        <v/>
      </c>
      <c r="K180" s="24">
        <f>IF(OR(A180="",G180&lt;&gt;"Activo"),"",IF(N(J180)=0,"Sin horas",E180/J180))</f>
        <v/>
      </c>
      <c r="L180" s="26">
        <f>IF(OR(A180="",G180&lt;&gt;"Activo"),"",IFERROR(E180/Tablero!$B$6,0))</f>
        <v/>
      </c>
      <c r="M180">
        <f>IF(NOT(ISNUMBER(K180)),"",IF(K180&lt;Parametros!$B$18,"BAJA",IF(K180&lt;Parametros!$B$18*1.25,"AJUSTADA","SANA")))</f>
        <v/>
      </c>
    </row>
    <row r="181">
      <c r="A181" s="19" t="n"/>
      <c r="B181" s="19" t="n"/>
      <c r="C181" s="19" t="n"/>
      <c r="D181" s="19" t="n"/>
      <c r="E181" s="20" t="n"/>
      <c r="F181" s="17" t="n"/>
      <c r="G181" s="19" t="n"/>
      <c r="H181" s="19" t="n"/>
      <c r="I181" s="19" t="n"/>
      <c r="J181" s="25">
        <f>IF(A181="","",SUMIFS(Horas!$D$2:$D$301,Horas!$B$2:$B$301,A181,Horas!$E$2:$E$301,Parametros!$B$1))</f>
        <v/>
      </c>
      <c r="K181" s="24">
        <f>IF(OR(A181="",G181&lt;&gt;"Activo"),"",IF(N(J181)=0,"Sin horas",E181/J181))</f>
        <v/>
      </c>
      <c r="L181" s="26">
        <f>IF(OR(A181="",G181&lt;&gt;"Activo"),"",IFERROR(E181/Tablero!$B$6,0))</f>
        <v/>
      </c>
      <c r="M181">
        <f>IF(NOT(ISNUMBER(K181)),"",IF(K181&lt;Parametros!$B$18,"BAJA",IF(K181&lt;Parametros!$B$18*1.25,"AJUSTADA","SANA")))</f>
        <v/>
      </c>
    </row>
    <row r="182">
      <c r="A182" s="19" t="n"/>
      <c r="B182" s="19" t="n"/>
      <c r="C182" s="19" t="n"/>
      <c r="D182" s="19" t="n"/>
      <c r="E182" s="20" t="n"/>
      <c r="F182" s="17" t="n"/>
      <c r="G182" s="19" t="n"/>
      <c r="H182" s="19" t="n"/>
      <c r="I182" s="19" t="n"/>
      <c r="J182" s="25">
        <f>IF(A182="","",SUMIFS(Horas!$D$2:$D$301,Horas!$B$2:$B$301,A182,Horas!$E$2:$E$301,Parametros!$B$1))</f>
        <v/>
      </c>
      <c r="K182" s="24">
        <f>IF(OR(A182="",G182&lt;&gt;"Activo"),"",IF(N(J182)=0,"Sin horas",E182/J182))</f>
        <v/>
      </c>
      <c r="L182" s="26">
        <f>IF(OR(A182="",G182&lt;&gt;"Activo"),"",IFERROR(E182/Tablero!$B$6,0))</f>
        <v/>
      </c>
      <c r="M182">
        <f>IF(NOT(ISNUMBER(K182)),"",IF(K182&lt;Parametros!$B$18,"BAJA",IF(K182&lt;Parametros!$B$18*1.25,"AJUSTADA","SANA")))</f>
        <v/>
      </c>
    </row>
    <row r="183">
      <c r="A183" s="19" t="n"/>
      <c r="B183" s="19" t="n"/>
      <c r="C183" s="19" t="n"/>
      <c r="D183" s="19" t="n"/>
      <c r="E183" s="20" t="n"/>
      <c r="F183" s="17" t="n"/>
      <c r="G183" s="19" t="n"/>
      <c r="H183" s="19" t="n"/>
      <c r="I183" s="19" t="n"/>
      <c r="J183" s="25">
        <f>IF(A183="","",SUMIFS(Horas!$D$2:$D$301,Horas!$B$2:$B$301,A183,Horas!$E$2:$E$301,Parametros!$B$1))</f>
        <v/>
      </c>
      <c r="K183" s="24">
        <f>IF(OR(A183="",G183&lt;&gt;"Activo"),"",IF(N(J183)=0,"Sin horas",E183/J183))</f>
        <v/>
      </c>
      <c r="L183" s="26">
        <f>IF(OR(A183="",G183&lt;&gt;"Activo"),"",IFERROR(E183/Tablero!$B$6,0))</f>
        <v/>
      </c>
      <c r="M183">
        <f>IF(NOT(ISNUMBER(K183)),"",IF(K183&lt;Parametros!$B$18,"BAJA",IF(K183&lt;Parametros!$B$18*1.25,"AJUSTADA","SANA")))</f>
        <v/>
      </c>
    </row>
    <row r="184">
      <c r="A184" s="19" t="n"/>
      <c r="B184" s="19" t="n"/>
      <c r="C184" s="19" t="n"/>
      <c r="D184" s="19" t="n"/>
      <c r="E184" s="20" t="n"/>
      <c r="F184" s="17" t="n"/>
      <c r="G184" s="19" t="n"/>
      <c r="H184" s="19" t="n"/>
      <c r="I184" s="19" t="n"/>
      <c r="J184" s="25">
        <f>IF(A184="","",SUMIFS(Horas!$D$2:$D$301,Horas!$B$2:$B$301,A184,Horas!$E$2:$E$301,Parametros!$B$1))</f>
        <v/>
      </c>
      <c r="K184" s="24">
        <f>IF(OR(A184="",G184&lt;&gt;"Activo"),"",IF(N(J184)=0,"Sin horas",E184/J184))</f>
        <v/>
      </c>
      <c r="L184" s="26">
        <f>IF(OR(A184="",G184&lt;&gt;"Activo"),"",IFERROR(E184/Tablero!$B$6,0))</f>
        <v/>
      </c>
      <c r="M184">
        <f>IF(NOT(ISNUMBER(K184)),"",IF(K184&lt;Parametros!$B$18,"BAJA",IF(K184&lt;Parametros!$B$18*1.25,"AJUSTADA","SANA")))</f>
        <v/>
      </c>
    </row>
    <row r="185">
      <c r="A185" s="19" t="n"/>
      <c r="B185" s="19" t="n"/>
      <c r="C185" s="19" t="n"/>
      <c r="D185" s="19" t="n"/>
      <c r="E185" s="20" t="n"/>
      <c r="F185" s="17" t="n"/>
      <c r="G185" s="19" t="n"/>
      <c r="H185" s="19" t="n"/>
      <c r="I185" s="19" t="n"/>
      <c r="J185" s="25">
        <f>IF(A185="","",SUMIFS(Horas!$D$2:$D$301,Horas!$B$2:$B$301,A185,Horas!$E$2:$E$301,Parametros!$B$1))</f>
        <v/>
      </c>
      <c r="K185" s="24">
        <f>IF(OR(A185="",G185&lt;&gt;"Activo"),"",IF(N(J185)=0,"Sin horas",E185/J185))</f>
        <v/>
      </c>
      <c r="L185" s="26">
        <f>IF(OR(A185="",G185&lt;&gt;"Activo"),"",IFERROR(E185/Tablero!$B$6,0))</f>
        <v/>
      </c>
      <c r="M185">
        <f>IF(NOT(ISNUMBER(K185)),"",IF(K185&lt;Parametros!$B$18,"BAJA",IF(K185&lt;Parametros!$B$18*1.25,"AJUSTADA","SANA")))</f>
        <v/>
      </c>
    </row>
    <row r="186">
      <c r="A186" s="19" t="n"/>
      <c r="B186" s="19" t="n"/>
      <c r="C186" s="19" t="n"/>
      <c r="D186" s="19" t="n"/>
      <c r="E186" s="20" t="n"/>
      <c r="F186" s="17" t="n"/>
      <c r="G186" s="19" t="n"/>
      <c r="H186" s="19" t="n"/>
      <c r="I186" s="19" t="n"/>
      <c r="J186" s="25">
        <f>IF(A186="","",SUMIFS(Horas!$D$2:$D$301,Horas!$B$2:$B$301,A186,Horas!$E$2:$E$301,Parametros!$B$1))</f>
        <v/>
      </c>
      <c r="K186" s="24">
        <f>IF(OR(A186="",G186&lt;&gt;"Activo"),"",IF(N(J186)=0,"Sin horas",E186/J186))</f>
        <v/>
      </c>
      <c r="L186" s="26">
        <f>IF(OR(A186="",G186&lt;&gt;"Activo"),"",IFERROR(E186/Tablero!$B$6,0))</f>
        <v/>
      </c>
      <c r="M186">
        <f>IF(NOT(ISNUMBER(K186)),"",IF(K186&lt;Parametros!$B$18,"BAJA",IF(K186&lt;Parametros!$B$18*1.25,"AJUSTADA","SANA")))</f>
        <v/>
      </c>
    </row>
    <row r="187">
      <c r="A187" s="19" t="n"/>
      <c r="B187" s="19" t="n"/>
      <c r="C187" s="19" t="n"/>
      <c r="D187" s="19" t="n"/>
      <c r="E187" s="20" t="n"/>
      <c r="F187" s="17" t="n"/>
      <c r="G187" s="19" t="n"/>
      <c r="H187" s="19" t="n"/>
      <c r="I187" s="19" t="n"/>
      <c r="J187" s="25">
        <f>IF(A187="","",SUMIFS(Horas!$D$2:$D$301,Horas!$B$2:$B$301,A187,Horas!$E$2:$E$301,Parametros!$B$1))</f>
        <v/>
      </c>
      <c r="K187" s="24">
        <f>IF(OR(A187="",G187&lt;&gt;"Activo"),"",IF(N(J187)=0,"Sin horas",E187/J187))</f>
        <v/>
      </c>
      <c r="L187" s="26">
        <f>IF(OR(A187="",G187&lt;&gt;"Activo"),"",IFERROR(E187/Tablero!$B$6,0))</f>
        <v/>
      </c>
      <c r="M187">
        <f>IF(NOT(ISNUMBER(K187)),"",IF(K187&lt;Parametros!$B$18,"BAJA",IF(K187&lt;Parametros!$B$18*1.25,"AJUSTADA","SANA")))</f>
        <v/>
      </c>
    </row>
    <row r="188">
      <c r="A188" s="19" t="n"/>
      <c r="B188" s="19" t="n"/>
      <c r="C188" s="19" t="n"/>
      <c r="D188" s="19" t="n"/>
      <c r="E188" s="20" t="n"/>
      <c r="F188" s="17" t="n"/>
      <c r="G188" s="19" t="n"/>
      <c r="H188" s="19" t="n"/>
      <c r="I188" s="19" t="n"/>
      <c r="J188" s="25">
        <f>IF(A188="","",SUMIFS(Horas!$D$2:$D$301,Horas!$B$2:$B$301,A188,Horas!$E$2:$E$301,Parametros!$B$1))</f>
        <v/>
      </c>
      <c r="K188" s="24">
        <f>IF(OR(A188="",G188&lt;&gt;"Activo"),"",IF(N(J188)=0,"Sin horas",E188/J188))</f>
        <v/>
      </c>
      <c r="L188" s="26">
        <f>IF(OR(A188="",G188&lt;&gt;"Activo"),"",IFERROR(E188/Tablero!$B$6,0))</f>
        <v/>
      </c>
      <c r="M188">
        <f>IF(NOT(ISNUMBER(K188)),"",IF(K188&lt;Parametros!$B$18,"BAJA",IF(K188&lt;Parametros!$B$18*1.25,"AJUSTADA","SANA")))</f>
        <v/>
      </c>
    </row>
    <row r="189">
      <c r="A189" s="19" t="n"/>
      <c r="B189" s="19" t="n"/>
      <c r="C189" s="19" t="n"/>
      <c r="D189" s="19" t="n"/>
      <c r="E189" s="20" t="n"/>
      <c r="F189" s="17" t="n"/>
      <c r="G189" s="19" t="n"/>
      <c r="H189" s="19" t="n"/>
      <c r="I189" s="19" t="n"/>
      <c r="J189" s="25">
        <f>IF(A189="","",SUMIFS(Horas!$D$2:$D$301,Horas!$B$2:$B$301,A189,Horas!$E$2:$E$301,Parametros!$B$1))</f>
        <v/>
      </c>
      <c r="K189" s="24">
        <f>IF(OR(A189="",G189&lt;&gt;"Activo"),"",IF(N(J189)=0,"Sin horas",E189/J189))</f>
        <v/>
      </c>
      <c r="L189" s="26">
        <f>IF(OR(A189="",G189&lt;&gt;"Activo"),"",IFERROR(E189/Tablero!$B$6,0))</f>
        <v/>
      </c>
      <c r="M189">
        <f>IF(NOT(ISNUMBER(K189)),"",IF(K189&lt;Parametros!$B$18,"BAJA",IF(K189&lt;Parametros!$B$18*1.25,"AJUSTADA","SANA")))</f>
        <v/>
      </c>
    </row>
    <row r="190">
      <c r="A190" s="19" t="n"/>
      <c r="B190" s="19" t="n"/>
      <c r="C190" s="19" t="n"/>
      <c r="D190" s="19" t="n"/>
      <c r="E190" s="20" t="n"/>
      <c r="F190" s="17" t="n"/>
      <c r="G190" s="19" t="n"/>
      <c r="H190" s="19" t="n"/>
      <c r="I190" s="19" t="n"/>
      <c r="J190" s="25">
        <f>IF(A190="","",SUMIFS(Horas!$D$2:$D$301,Horas!$B$2:$B$301,A190,Horas!$E$2:$E$301,Parametros!$B$1))</f>
        <v/>
      </c>
      <c r="K190" s="24">
        <f>IF(OR(A190="",G190&lt;&gt;"Activo"),"",IF(N(J190)=0,"Sin horas",E190/J190))</f>
        <v/>
      </c>
      <c r="L190" s="26">
        <f>IF(OR(A190="",G190&lt;&gt;"Activo"),"",IFERROR(E190/Tablero!$B$6,0))</f>
        <v/>
      </c>
      <c r="M190">
        <f>IF(NOT(ISNUMBER(K190)),"",IF(K190&lt;Parametros!$B$18,"BAJA",IF(K190&lt;Parametros!$B$18*1.25,"AJUSTADA","SANA")))</f>
        <v/>
      </c>
    </row>
    <row r="191">
      <c r="A191" s="19" t="n"/>
      <c r="B191" s="19" t="n"/>
      <c r="C191" s="19" t="n"/>
      <c r="D191" s="19" t="n"/>
      <c r="E191" s="20" t="n"/>
      <c r="F191" s="17" t="n"/>
      <c r="G191" s="19" t="n"/>
      <c r="H191" s="19" t="n"/>
      <c r="I191" s="19" t="n"/>
      <c r="J191" s="25">
        <f>IF(A191="","",SUMIFS(Horas!$D$2:$D$301,Horas!$B$2:$B$301,A191,Horas!$E$2:$E$301,Parametros!$B$1))</f>
        <v/>
      </c>
      <c r="K191" s="24">
        <f>IF(OR(A191="",G191&lt;&gt;"Activo"),"",IF(N(J191)=0,"Sin horas",E191/J191))</f>
        <v/>
      </c>
      <c r="L191" s="26">
        <f>IF(OR(A191="",G191&lt;&gt;"Activo"),"",IFERROR(E191/Tablero!$B$6,0))</f>
        <v/>
      </c>
      <c r="M191">
        <f>IF(NOT(ISNUMBER(K191)),"",IF(K191&lt;Parametros!$B$18,"BAJA",IF(K191&lt;Parametros!$B$18*1.25,"AJUSTADA","SANA")))</f>
        <v/>
      </c>
    </row>
    <row r="192">
      <c r="A192" s="19" t="n"/>
      <c r="B192" s="19" t="n"/>
      <c r="C192" s="19" t="n"/>
      <c r="D192" s="19" t="n"/>
      <c r="E192" s="20" t="n"/>
      <c r="F192" s="17" t="n"/>
      <c r="G192" s="19" t="n"/>
      <c r="H192" s="19" t="n"/>
      <c r="I192" s="19" t="n"/>
      <c r="J192" s="25">
        <f>IF(A192="","",SUMIFS(Horas!$D$2:$D$301,Horas!$B$2:$B$301,A192,Horas!$E$2:$E$301,Parametros!$B$1))</f>
        <v/>
      </c>
      <c r="K192" s="24">
        <f>IF(OR(A192="",G192&lt;&gt;"Activo"),"",IF(N(J192)=0,"Sin horas",E192/J192))</f>
        <v/>
      </c>
      <c r="L192" s="26">
        <f>IF(OR(A192="",G192&lt;&gt;"Activo"),"",IFERROR(E192/Tablero!$B$6,0))</f>
        <v/>
      </c>
      <c r="M192">
        <f>IF(NOT(ISNUMBER(K192)),"",IF(K192&lt;Parametros!$B$18,"BAJA",IF(K192&lt;Parametros!$B$18*1.25,"AJUSTADA","SANA")))</f>
        <v/>
      </c>
    </row>
    <row r="193">
      <c r="A193" s="19" t="n"/>
      <c r="B193" s="19" t="n"/>
      <c r="C193" s="19" t="n"/>
      <c r="D193" s="19" t="n"/>
      <c r="E193" s="20" t="n"/>
      <c r="F193" s="17" t="n"/>
      <c r="G193" s="19" t="n"/>
      <c r="H193" s="19" t="n"/>
      <c r="I193" s="19" t="n"/>
      <c r="J193" s="25">
        <f>IF(A193="","",SUMIFS(Horas!$D$2:$D$301,Horas!$B$2:$B$301,A193,Horas!$E$2:$E$301,Parametros!$B$1))</f>
        <v/>
      </c>
      <c r="K193" s="24">
        <f>IF(OR(A193="",G193&lt;&gt;"Activo"),"",IF(N(J193)=0,"Sin horas",E193/J193))</f>
        <v/>
      </c>
      <c r="L193" s="26">
        <f>IF(OR(A193="",G193&lt;&gt;"Activo"),"",IFERROR(E193/Tablero!$B$6,0))</f>
        <v/>
      </c>
      <c r="M193">
        <f>IF(NOT(ISNUMBER(K193)),"",IF(K193&lt;Parametros!$B$18,"BAJA",IF(K193&lt;Parametros!$B$18*1.25,"AJUSTADA","SANA")))</f>
        <v/>
      </c>
    </row>
    <row r="194">
      <c r="A194" s="19" t="n"/>
      <c r="B194" s="19" t="n"/>
      <c r="C194" s="19" t="n"/>
      <c r="D194" s="19" t="n"/>
      <c r="E194" s="20" t="n"/>
      <c r="F194" s="17" t="n"/>
      <c r="G194" s="19" t="n"/>
      <c r="H194" s="19" t="n"/>
      <c r="I194" s="19" t="n"/>
      <c r="J194" s="25">
        <f>IF(A194="","",SUMIFS(Horas!$D$2:$D$301,Horas!$B$2:$B$301,A194,Horas!$E$2:$E$301,Parametros!$B$1))</f>
        <v/>
      </c>
      <c r="K194" s="24">
        <f>IF(OR(A194="",G194&lt;&gt;"Activo"),"",IF(N(J194)=0,"Sin horas",E194/J194))</f>
        <v/>
      </c>
      <c r="L194" s="26">
        <f>IF(OR(A194="",G194&lt;&gt;"Activo"),"",IFERROR(E194/Tablero!$B$6,0))</f>
        <v/>
      </c>
      <c r="M194">
        <f>IF(NOT(ISNUMBER(K194)),"",IF(K194&lt;Parametros!$B$18,"BAJA",IF(K194&lt;Parametros!$B$18*1.25,"AJUSTADA","SANA")))</f>
        <v/>
      </c>
    </row>
    <row r="195">
      <c r="A195" s="19" t="n"/>
      <c r="B195" s="19" t="n"/>
      <c r="C195" s="19" t="n"/>
      <c r="D195" s="19" t="n"/>
      <c r="E195" s="20" t="n"/>
      <c r="F195" s="17" t="n"/>
      <c r="G195" s="19" t="n"/>
      <c r="H195" s="19" t="n"/>
      <c r="I195" s="19" t="n"/>
      <c r="J195" s="25">
        <f>IF(A195="","",SUMIFS(Horas!$D$2:$D$301,Horas!$B$2:$B$301,A195,Horas!$E$2:$E$301,Parametros!$B$1))</f>
        <v/>
      </c>
      <c r="K195" s="24">
        <f>IF(OR(A195="",G195&lt;&gt;"Activo"),"",IF(N(J195)=0,"Sin horas",E195/J195))</f>
        <v/>
      </c>
      <c r="L195" s="26">
        <f>IF(OR(A195="",G195&lt;&gt;"Activo"),"",IFERROR(E195/Tablero!$B$6,0))</f>
        <v/>
      </c>
      <c r="M195">
        <f>IF(NOT(ISNUMBER(K195)),"",IF(K195&lt;Parametros!$B$18,"BAJA",IF(K195&lt;Parametros!$B$18*1.25,"AJUSTADA","SANA")))</f>
        <v/>
      </c>
    </row>
    <row r="196">
      <c r="A196" s="19" t="n"/>
      <c r="B196" s="19" t="n"/>
      <c r="C196" s="19" t="n"/>
      <c r="D196" s="19" t="n"/>
      <c r="E196" s="20" t="n"/>
      <c r="F196" s="17" t="n"/>
      <c r="G196" s="19" t="n"/>
      <c r="H196" s="19" t="n"/>
      <c r="I196" s="19" t="n"/>
      <c r="J196" s="25">
        <f>IF(A196="","",SUMIFS(Horas!$D$2:$D$301,Horas!$B$2:$B$301,A196,Horas!$E$2:$E$301,Parametros!$B$1))</f>
        <v/>
      </c>
      <c r="K196" s="24">
        <f>IF(OR(A196="",G196&lt;&gt;"Activo"),"",IF(N(J196)=0,"Sin horas",E196/J196))</f>
        <v/>
      </c>
      <c r="L196" s="26">
        <f>IF(OR(A196="",G196&lt;&gt;"Activo"),"",IFERROR(E196/Tablero!$B$6,0))</f>
        <v/>
      </c>
      <c r="M196">
        <f>IF(NOT(ISNUMBER(K196)),"",IF(K196&lt;Parametros!$B$18,"BAJA",IF(K196&lt;Parametros!$B$18*1.25,"AJUSTADA","SANA")))</f>
        <v/>
      </c>
    </row>
    <row r="197">
      <c r="A197" s="19" t="n"/>
      <c r="B197" s="19" t="n"/>
      <c r="C197" s="19" t="n"/>
      <c r="D197" s="19" t="n"/>
      <c r="E197" s="20" t="n"/>
      <c r="F197" s="17" t="n"/>
      <c r="G197" s="19" t="n"/>
      <c r="H197" s="19" t="n"/>
      <c r="I197" s="19" t="n"/>
      <c r="J197" s="25">
        <f>IF(A197="","",SUMIFS(Horas!$D$2:$D$301,Horas!$B$2:$B$301,A197,Horas!$E$2:$E$301,Parametros!$B$1))</f>
        <v/>
      </c>
      <c r="K197" s="24">
        <f>IF(OR(A197="",G197&lt;&gt;"Activo"),"",IF(N(J197)=0,"Sin horas",E197/J197))</f>
        <v/>
      </c>
      <c r="L197" s="26">
        <f>IF(OR(A197="",G197&lt;&gt;"Activo"),"",IFERROR(E197/Tablero!$B$6,0))</f>
        <v/>
      </c>
      <c r="M197">
        <f>IF(NOT(ISNUMBER(K197)),"",IF(K197&lt;Parametros!$B$18,"BAJA",IF(K197&lt;Parametros!$B$18*1.25,"AJUSTADA","SANA")))</f>
        <v/>
      </c>
    </row>
    <row r="198">
      <c r="A198" s="19" t="n"/>
      <c r="B198" s="19" t="n"/>
      <c r="C198" s="19" t="n"/>
      <c r="D198" s="19" t="n"/>
      <c r="E198" s="20" t="n"/>
      <c r="F198" s="17" t="n"/>
      <c r="G198" s="19" t="n"/>
      <c r="H198" s="19" t="n"/>
      <c r="I198" s="19" t="n"/>
      <c r="J198" s="25">
        <f>IF(A198="","",SUMIFS(Horas!$D$2:$D$301,Horas!$B$2:$B$301,A198,Horas!$E$2:$E$301,Parametros!$B$1))</f>
        <v/>
      </c>
      <c r="K198" s="24">
        <f>IF(OR(A198="",G198&lt;&gt;"Activo"),"",IF(N(J198)=0,"Sin horas",E198/J198))</f>
        <v/>
      </c>
      <c r="L198" s="26">
        <f>IF(OR(A198="",G198&lt;&gt;"Activo"),"",IFERROR(E198/Tablero!$B$6,0))</f>
        <v/>
      </c>
      <c r="M198">
        <f>IF(NOT(ISNUMBER(K198)),"",IF(K198&lt;Parametros!$B$18,"BAJA",IF(K198&lt;Parametros!$B$18*1.25,"AJUSTADA","SANA")))</f>
        <v/>
      </c>
    </row>
    <row r="199">
      <c r="A199" s="19" t="n"/>
      <c r="B199" s="19" t="n"/>
      <c r="C199" s="19" t="n"/>
      <c r="D199" s="19" t="n"/>
      <c r="E199" s="20" t="n"/>
      <c r="F199" s="17" t="n"/>
      <c r="G199" s="19" t="n"/>
      <c r="H199" s="19" t="n"/>
      <c r="I199" s="19" t="n"/>
      <c r="J199" s="25">
        <f>IF(A199="","",SUMIFS(Horas!$D$2:$D$301,Horas!$B$2:$B$301,A199,Horas!$E$2:$E$301,Parametros!$B$1))</f>
        <v/>
      </c>
      <c r="K199" s="24">
        <f>IF(OR(A199="",G199&lt;&gt;"Activo"),"",IF(N(J199)=0,"Sin horas",E199/J199))</f>
        <v/>
      </c>
      <c r="L199" s="26">
        <f>IF(OR(A199="",G199&lt;&gt;"Activo"),"",IFERROR(E199/Tablero!$B$6,0))</f>
        <v/>
      </c>
      <c r="M199">
        <f>IF(NOT(ISNUMBER(K199)),"",IF(K199&lt;Parametros!$B$18,"BAJA",IF(K199&lt;Parametros!$B$18*1.25,"AJUSTADA","SANA")))</f>
        <v/>
      </c>
    </row>
    <row r="200">
      <c r="A200" s="19" t="n"/>
      <c r="B200" s="19" t="n"/>
      <c r="C200" s="19" t="n"/>
      <c r="D200" s="19" t="n"/>
      <c r="E200" s="20" t="n"/>
      <c r="F200" s="17" t="n"/>
      <c r="G200" s="19" t="n"/>
      <c r="H200" s="19" t="n"/>
      <c r="I200" s="19" t="n"/>
      <c r="J200" s="25">
        <f>IF(A200="","",SUMIFS(Horas!$D$2:$D$301,Horas!$B$2:$B$301,A200,Horas!$E$2:$E$301,Parametros!$B$1))</f>
        <v/>
      </c>
      <c r="K200" s="24">
        <f>IF(OR(A200="",G200&lt;&gt;"Activo"),"",IF(N(J200)=0,"Sin horas",E200/J200))</f>
        <v/>
      </c>
      <c r="L200" s="26">
        <f>IF(OR(A200="",G200&lt;&gt;"Activo"),"",IFERROR(E200/Tablero!$B$6,0))</f>
        <v/>
      </c>
      <c r="M200">
        <f>IF(NOT(ISNUMBER(K200)),"",IF(K200&lt;Parametros!$B$18,"BAJA",IF(K200&lt;Parametros!$B$18*1.25,"AJUSTADA","SANA")))</f>
        <v/>
      </c>
    </row>
    <row r="201">
      <c r="A201" s="19" t="n"/>
      <c r="B201" s="19" t="n"/>
      <c r="C201" s="19" t="n"/>
      <c r="D201" s="19" t="n"/>
      <c r="E201" s="20" t="n"/>
      <c r="F201" s="17" t="n"/>
      <c r="G201" s="19" t="n"/>
      <c r="H201" s="19" t="n"/>
      <c r="I201" s="19" t="n"/>
      <c r="J201" s="25">
        <f>IF(A201="","",SUMIFS(Horas!$D$2:$D$301,Horas!$B$2:$B$301,A201,Horas!$E$2:$E$301,Parametros!$B$1))</f>
        <v/>
      </c>
      <c r="K201" s="24">
        <f>IF(OR(A201="",G201&lt;&gt;"Activo"),"",IF(N(J201)=0,"Sin horas",E201/J201))</f>
        <v/>
      </c>
      <c r="L201" s="26">
        <f>IF(OR(A201="",G201&lt;&gt;"Activo"),"",IFERROR(E201/Tablero!$B$6,0))</f>
        <v/>
      </c>
      <c r="M201">
        <f>IF(NOT(ISNUMBER(K201)),"",IF(K201&lt;Parametros!$B$18,"BAJA",IF(K201&lt;Parametros!$B$18*1.25,"AJUSTADA","SANA")))</f>
        <v/>
      </c>
    </row>
    <row r="202">
      <c r="A202" s="19" t="n"/>
      <c r="B202" s="19" t="n"/>
      <c r="C202" s="19" t="n"/>
      <c r="D202" s="19" t="n"/>
      <c r="E202" s="20" t="n"/>
      <c r="F202" s="17" t="n"/>
      <c r="G202" s="19" t="n"/>
      <c r="H202" s="19" t="n"/>
      <c r="I202" s="19" t="n"/>
      <c r="J202" s="25">
        <f>IF(A202="","",SUMIFS(Horas!$D$2:$D$301,Horas!$B$2:$B$301,A202,Horas!$E$2:$E$301,Parametros!$B$1))</f>
        <v/>
      </c>
      <c r="K202" s="24">
        <f>IF(OR(A202="",G202&lt;&gt;"Activo"),"",IF(N(J202)=0,"Sin horas",E202/J202))</f>
        <v/>
      </c>
      <c r="L202" s="26">
        <f>IF(OR(A202="",G202&lt;&gt;"Activo"),"",IFERROR(E202/Tablero!$B$6,0))</f>
        <v/>
      </c>
      <c r="M202">
        <f>IF(NOT(ISNUMBER(K202)),"",IF(K202&lt;Parametros!$B$18,"BAJA",IF(K202&lt;Parametros!$B$18*1.25,"AJUSTADA","SANA")))</f>
        <v/>
      </c>
    </row>
    <row r="203">
      <c r="A203" s="19" t="n"/>
      <c r="B203" s="19" t="n"/>
      <c r="C203" s="19" t="n"/>
      <c r="D203" s="19" t="n"/>
      <c r="E203" s="20" t="n"/>
      <c r="F203" s="17" t="n"/>
      <c r="G203" s="19" t="n"/>
      <c r="H203" s="19" t="n"/>
      <c r="I203" s="19" t="n"/>
      <c r="J203" s="25">
        <f>IF(A203="","",SUMIFS(Horas!$D$2:$D$301,Horas!$B$2:$B$301,A203,Horas!$E$2:$E$301,Parametros!$B$1))</f>
        <v/>
      </c>
      <c r="K203" s="24">
        <f>IF(OR(A203="",G203&lt;&gt;"Activo"),"",IF(N(J203)=0,"Sin horas",E203/J203))</f>
        <v/>
      </c>
      <c r="L203" s="26">
        <f>IF(OR(A203="",G203&lt;&gt;"Activo"),"",IFERROR(E203/Tablero!$B$6,0))</f>
        <v/>
      </c>
      <c r="M203">
        <f>IF(NOT(ISNUMBER(K203)),"",IF(K203&lt;Parametros!$B$18,"BAJA",IF(K203&lt;Parametros!$B$18*1.25,"AJUSTADA","SANA")))</f>
        <v/>
      </c>
    </row>
    <row r="204">
      <c r="A204" s="19" t="n"/>
      <c r="B204" s="19" t="n"/>
      <c r="C204" s="19" t="n"/>
      <c r="D204" s="19" t="n"/>
      <c r="E204" s="20" t="n"/>
      <c r="F204" s="17" t="n"/>
      <c r="G204" s="19" t="n"/>
      <c r="H204" s="19" t="n"/>
      <c r="I204" s="19" t="n"/>
      <c r="J204" s="25">
        <f>IF(A204="","",SUMIFS(Horas!$D$2:$D$301,Horas!$B$2:$B$301,A204,Horas!$E$2:$E$301,Parametros!$B$1))</f>
        <v/>
      </c>
      <c r="K204" s="24">
        <f>IF(OR(A204="",G204&lt;&gt;"Activo"),"",IF(N(J204)=0,"Sin horas",E204/J204))</f>
        <v/>
      </c>
      <c r="L204" s="26">
        <f>IF(OR(A204="",G204&lt;&gt;"Activo"),"",IFERROR(E204/Tablero!$B$6,0))</f>
        <v/>
      </c>
      <c r="M204">
        <f>IF(NOT(ISNUMBER(K204)),"",IF(K204&lt;Parametros!$B$18,"BAJA",IF(K204&lt;Parametros!$B$18*1.25,"AJUSTADA","SANA")))</f>
        <v/>
      </c>
    </row>
    <row r="205">
      <c r="A205" s="19" t="n"/>
      <c r="B205" s="19" t="n"/>
      <c r="C205" s="19" t="n"/>
      <c r="D205" s="19" t="n"/>
      <c r="E205" s="20" t="n"/>
      <c r="F205" s="17" t="n"/>
      <c r="G205" s="19" t="n"/>
      <c r="H205" s="19" t="n"/>
      <c r="I205" s="19" t="n"/>
      <c r="J205" s="25">
        <f>IF(A205="","",SUMIFS(Horas!$D$2:$D$301,Horas!$B$2:$B$301,A205,Horas!$E$2:$E$301,Parametros!$B$1))</f>
        <v/>
      </c>
      <c r="K205" s="24">
        <f>IF(OR(A205="",G205&lt;&gt;"Activo"),"",IF(N(J205)=0,"Sin horas",E205/J205))</f>
        <v/>
      </c>
      <c r="L205" s="26">
        <f>IF(OR(A205="",G205&lt;&gt;"Activo"),"",IFERROR(E205/Tablero!$B$6,0))</f>
        <v/>
      </c>
      <c r="M205">
        <f>IF(NOT(ISNUMBER(K205)),"",IF(K205&lt;Parametros!$B$18,"BAJA",IF(K205&lt;Parametros!$B$18*1.25,"AJUSTADA","SANA")))</f>
        <v/>
      </c>
    </row>
    <row r="206">
      <c r="A206" s="19" t="n"/>
      <c r="B206" s="19" t="n"/>
      <c r="C206" s="19" t="n"/>
      <c r="D206" s="19" t="n"/>
      <c r="E206" s="20" t="n"/>
      <c r="F206" s="17" t="n"/>
      <c r="G206" s="19" t="n"/>
      <c r="H206" s="19" t="n"/>
      <c r="I206" s="19" t="n"/>
      <c r="J206" s="25">
        <f>IF(A206="","",SUMIFS(Horas!$D$2:$D$301,Horas!$B$2:$B$301,A206,Horas!$E$2:$E$301,Parametros!$B$1))</f>
        <v/>
      </c>
      <c r="K206" s="24">
        <f>IF(OR(A206="",G206&lt;&gt;"Activo"),"",IF(N(J206)=0,"Sin horas",E206/J206))</f>
        <v/>
      </c>
      <c r="L206" s="26">
        <f>IF(OR(A206="",G206&lt;&gt;"Activo"),"",IFERROR(E206/Tablero!$B$6,0))</f>
        <v/>
      </c>
      <c r="M206">
        <f>IF(NOT(ISNUMBER(K206)),"",IF(K206&lt;Parametros!$B$18,"BAJA",IF(K206&lt;Parametros!$B$18*1.25,"AJUSTADA","SANA")))</f>
        <v/>
      </c>
    </row>
    <row r="207">
      <c r="A207" s="19" t="n"/>
      <c r="B207" s="19" t="n"/>
      <c r="C207" s="19" t="n"/>
      <c r="D207" s="19" t="n"/>
      <c r="E207" s="20" t="n"/>
      <c r="F207" s="17" t="n"/>
      <c r="G207" s="19" t="n"/>
      <c r="H207" s="19" t="n"/>
      <c r="I207" s="19" t="n"/>
      <c r="J207" s="25">
        <f>IF(A207="","",SUMIFS(Horas!$D$2:$D$301,Horas!$B$2:$B$301,A207,Horas!$E$2:$E$301,Parametros!$B$1))</f>
        <v/>
      </c>
      <c r="K207" s="24">
        <f>IF(OR(A207="",G207&lt;&gt;"Activo"),"",IF(N(J207)=0,"Sin horas",E207/J207))</f>
        <v/>
      </c>
      <c r="L207" s="26">
        <f>IF(OR(A207="",G207&lt;&gt;"Activo"),"",IFERROR(E207/Tablero!$B$6,0))</f>
        <v/>
      </c>
      <c r="M207">
        <f>IF(NOT(ISNUMBER(K207)),"",IF(K207&lt;Parametros!$B$18,"BAJA",IF(K207&lt;Parametros!$B$18*1.25,"AJUSTADA","SANA")))</f>
        <v/>
      </c>
    </row>
    <row r="208">
      <c r="A208" s="19" t="n"/>
      <c r="B208" s="19" t="n"/>
      <c r="C208" s="19" t="n"/>
      <c r="D208" s="19" t="n"/>
      <c r="E208" s="20" t="n"/>
      <c r="F208" s="17" t="n"/>
      <c r="G208" s="19" t="n"/>
      <c r="H208" s="19" t="n"/>
      <c r="I208" s="19" t="n"/>
      <c r="J208" s="25">
        <f>IF(A208="","",SUMIFS(Horas!$D$2:$D$301,Horas!$B$2:$B$301,A208,Horas!$E$2:$E$301,Parametros!$B$1))</f>
        <v/>
      </c>
      <c r="K208" s="24">
        <f>IF(OR(A208="",G208&lt;&gt;"Activo"),"",IF(N(J208)=0,"Sin horas",E208/J208))</f>
        <v/>
      </c>
      <c r="L208" s="26">
        <f>IF(OR(A208="",G208&lt;&gt;"Activo"),"",IFERROR(E208/Tablero!$B$6,0))</f>
        <v/>
      </c>
      <c r="M208">
        <f>IF(NOT(ISNUMBER(K208)),"",IF(K208&lt;Parametros!$B$18,"BAJA",IF(K208&lt;Parametros!$B$18*1.25,"AJUSTADA","SANA")))</f>
        <v/>
      </c>
    </row>
    <row r="209">
      <c r="A209" s="19" t="n"/>
      <c r="B209" s="19" t="n"/>
      <c r="C209" s="19" t="n"/>
      <c r="D209" s="19" t="n"/>
      <c r="E209" s="20" t="n"/>
      <c r="F209" s="17" t="n"/>
      <c r="G209" s="19" t="n"/>
      <c r="H209" s="19" t="n"/>
      <c r="I209" s="19" t="n"/>
      <c r="J209" s="25">
        <f>IF(A209="","",SUMIFS(Horas!$D$2:$D$301,Horas!$B$2:$B$301,A209,Horas!$E$2:$E$301,Parametros!$B$1))</f>
        <v/>
      </c>
      <c r="K209" s="24">
        <f>IF(OR(A209="",G209&lt;&gt;"Activo"),"",IF(N(J209)=0,"Sin horas",E209/J209))</f>
        <v/>
      </c>
      <c r="L209" s="26">
        <f>IF(OR(A209="",G209&lt;&gt;"Activo"),"",IFERROR(E209/Tablero!$B$6,0))</f>
        <v/>
      </c>
      <c r="M209">
        <f>IF(NOT(ISNUMBER(K209)),"",IF(K209&lt;Parametros!$B$18,"BAJA",IF(K209&lt;Parametros!$B$18*1.25,"AJUSTADA","SANA")))</f>
        <v/>
      </c>
    </row>
    <row r="210">
      <c r="A210" s="19" t="n"/>
      <c r="B210" s="19" t="n"/>
      <c r="C210" s="19" t="n"/>
      <c r="D210" s="19" t="n"/>
      <c r="E210" s="20" t="n"/>
      <c r="F210" s="17" t="n"/>
      <c r="G210" s="19" t="n"/>
      <c r="H210" s="19" t="n"/>
      <c r="I210" s="19" t="n"/>
      <c r="J210" s="25">
        <f>IF(A210="","",SUMIFS(Horas!$D$2:$D$301,Horas!$B$2:$B$301,A210,Horas!$E$2:$E$301,Parametros!$B$1))</f>
        <v/>
      </c>
      <c r="K210" s="24">
        <f>IF(OR(A210="",G210&lt;&gt;"Activo"),"",IF(N(J210)=0,"Sin horas",E210/J210))</f>
        <v/>
      </c>
      <c r="L210" s="26">
        <f>IF(OR(A210="",G210&lt;&gt;"Activo"),"",IFERROR(E210/Tablero!$B$6,0))</f>
        <v/>
      </c>
      <c r="M210">
        <f>IF(NOT(ISNUMBER(K210)),"",IF(K210&lt;Parametros!$B$18,"BAJA",IF(K210&lt;Parametros!$B$18*1.25,"AJUSTADA","SANA")))</f>
        <v/>
      </c>
    </row>
    <row r="211">
      <c r="A211" s="19" t="n"/>
      <c r="B211" s="19" t="n"/>
      <c r="C211" s="19" t="n"/>
      <c r="D211" s="19" t="n"/>
      <c r="E211" s="20" t="n"/>
      <c r="F211" s="17" t="n"/>
      <c r="G211" s="19" t="n"/>
      <c r="H211" s="19" t="n"/>
      <c r="I211" s="19" t="n"/>
      <c r="J211" s="25">
        <f>IF(A211="","",SUMIFS(Horas!$D$2:$D$301,Horas!$B$2:$B$301,A211,Horas!$E$2:$E$301,Parametros!$B$1))</f>
        <v/>
      </c>
      <c r="K211" s="24">
        <f>IF(OR(A211="",G211&lt;&gt;"Activo"),"",IF(N(J211)=0,"Sin horas",E211/J211))</f>
        <v/>
      </c>
      <c r="L211" s="26">
        <f>IF(OR(A211="",G211&lt;&gt;"Activo"),"",IFERROR(E211/Tablero!$B$6,0))</f>
        <v/>
      </c>
      <c r="M211">
        <f>IF(NOT(ISNUMBER(K211)),"",IF(K211&lt;Parametros!$B$18,"BAJA",IF(K211&lt;Parametros!$B$18*1.25,"AJUSTADA","SANA")))</f>
        <v/>
      </c>
    </row>
    <row r="212">
      <c r="A212" s="19" t="n"/>
      <c r="B212" s="19" t="n"/>
      <c r="C212" s="19" t="n"/>
      <c r="D212" s="19" t="n"/>
      <c r="E212" s="20" t="n"/>
      <c r="F212" s="17" t="n"/>
      <c r="G212" s="19" t="n"/>
      <c r="H212" s="19" t="n"/>
      <c r="I212" s="19" t="n"/>
      <c r="J212" s="25">
        <f>IF(A212="","",SUMIFS(Horas!$D$2:$D$301,Horas!$B$2:$B$301,A212,Horas!$E$2:$E$301,Parametros!$B$1))</f>
        <v/>
      </c>
      <c r="K212" s="24">
        <f>IF(OR(A212="",G212&lt;&gt;"Activo"),"",IF(N(J212)=0,"Sin horas",E212/J212))</f>
        <v/>
      </c>
      <c r="L212" s="26">
        <f>IF(OR(A212="",G212&lt;&gt;"Activo"),"",IFERROR(E212/Tablero!$B$6,0))</f>
        <v/>
      </c>
      <c r="M212">
        <f>IF(NOT(ISNUMBER(K212)),"",IF(K212&lt;Parametros!$B$18,"BAJA",IF(K212&lt;Parametros!$B$18*1.25,"AJUSTADA","SANA")))</f>
        <v/>
      </c>
    </row>
    <row r="213">
      <c r="A213" s="19" t="n"/>
      <c r="B213" s="19" t="n"/>
      <c r="C213" s="19" t="n"/>
      <c r="D213" s="19" t="n"/>
      <c r="E213" s="20" t="n"/>
      <c r="F213" s="17" t="n"/>
      <c r="G213" s="19" t="n"/>
      <c r="H213" s="19" t="n"/>
      <c r="I213" s="19" t="n"/>
      <c r="J213" s="25">
        <f>IF(A213="","",SUMIFS(Horas!$D$2:$D$301,Horas!$B$2:$B$301,A213,Horas!$E$2:$E$301,Parametros!$B$1))</f>
        <v/>
      </c>
      <c r="K213" s="24">
        <f>IF(OR(A213="",G213&lt;&gt;"Activo"),"",IF(N(J213)=0,"Sin horas",E213/J213))</f>
        <v/>
      </c>
      <c r="L213" s="26">
        <f>IF(OR(A213="",G213&lt;&gt;"Activo"),"",IFERROR(E213/Tablero!$B$6,0))</f>
        <v/>
      </c>
      <c r="M213">
        <f>IF(NOT(ISNUMBER(K213)),"",IF(K213&lt;Parametros!$B$18,"BAJA",IF(K213&lt;Parametros!$B$18*1.25,"AJUSTADA","SANA")))</f>
        <v/>
      </c>
    </row>
    <row r="214">
      <c r="A214" s="19" t="n"/>
      <c r="B214" s="19" t="n"/>
      <c r="C214" s="19" t="n"/>
      <c r="D214" s="19" t="n"/>
      <c r="E214" s="20" t="n"/>
      <c r="F214" s="17" t="n"/>
      <c r="G214" s="19" t="n"/>
      <c r="H214" s="19" t="n"/>
      <c r="I214" s="19" t="n"/>
      <c r="J214" s="25">
        <f>IF(A214="","",SUMIFS(Horas!$D$2:$D$301,Horas!$B$2:$B$301,A214,Horas!$E$2:$E$301,Parametros!$B$1))</f>
        <v/>
      </c>
      <c r="K214" s="24">
        <f>IF(OR(A214="",G214&lt;&gt;"Activo"),"",IF(N(J214)=0,"Sin horas",E214/J214))</f>
        <v/>
      </c>
      <c r="L214" s="26">
        <f>IF(OR(A214="",G214&lt;&gt;"Activo"),"",IFERROR(E214/Tablero!$B$6,0))</f>
        <v/>
      </c>
      <c r="M214">
        <f>IF(NOT(ISNUMBER(K214)),"",IF(K214&lt;Parametros!$B$18,"BAJA",IF(K214&lt;Parametros!$B$18*1.25,"AJUSTADA","SANA")))</f>
        <v/>
      </c>
    </row>
    <row r="215">
      <c r="A215" s="19" t="n"/>
      <c r="B215" s="19" t="n"/>
      <c r="C215" s="19" t="n"/>
      <c r="D215" s="19" t="n"/>
      <c r="E215" s="20" t="n"/>
      <c r="F215" s="17" t="n"/>
      <c r="G215" s="19" t="n"/>
      <c r="H215" s="19" t="n"/>
      <c r="I215" s="19" t="n"/>
      <c r="J215" s="25">
        <f>IF(A215="","",SUMIFS(Horas!$D$2:$D$301,Horas!$B$2:$B$301,A215,Horas!$E$2:$E$301,Parametros!$B$1))</f>
        <v/>
      </c>
      <c r="K215" s="24">
        <f>IF(OR(A215="",G215&lt;&gt;"Activo"),"",IF(N(J215)=0,"Sin horas",E215/J215))</f>
        <v/>
      </c>
      <c r="L215" s="26">
        <f>IF(OR(A215="",G215&lt;&gt;"Activo"),"",IFERROR(E215/Tablero!$B$6,0))</f>
        <v/>
      </c>
      <c r="M215">
        <f>IF(NOT(ISNUMBER(K215)),"",IF(K215&lt;Parametros!$B$18,"BAJA",IF(K215&lt;Parametros!$B$18*1.25,"AJUSTADA","SANA")))</f>
        <v/>
      </c>
    </row>
    <row r="216">
      <c r="A216" s="19" t="n"/>
      <c r="B216" s="19" t="n"/>
      <c r="C216" s="19" t="n"/>
      <c r="D216" s="19" t="n"/>
      <c r="E216" s="20" t="n"/>
      <c r="F216" s="17" t="n"/>
      <c r="G216" s="19" t="n"/>
      <c r="H216" s="19" t="n"/>
      <c r="I216" s="19" t="n"/>
      <c r="J216" s="25">
        <f>IF(A216="","",SUMIFS(Horas!$D$2:$D$301,Horas!$B$2:$B$301,A216,Horas!$E$2:$E$301,Parametros!$B$1))</f>
        <v/>
      </c>
      <c r="K216" s="24">
        <f>IF(OR(A216="",G216&lt;&gt;"Activo"),"",IF(N(J216)=0,"Sin horas",E216/J216))</f>
        <v/>
      </c>
      <c r="L216" s="26">
        <f>IF(OR(A216="",G216&lt;&gt;"Activo"),"",IFERROR(E216/Tablero!$B$6,0))</f>
        <v/>
      </c>
      <c r="M216">
        <f>IF(NOT(ISNUMBER(K216)),"",IF(K216&lt;Parametros!$B$18,"BAJA",IF(K216&lt;Parametros!$B$18*1.25,"AJUSTADA","SANA")))</f>
        <v/>
      </c>
    </row>
    <row r="217">
      <c r="A217" s="19" t="n"/>
      <c r="B217" s="19" t="n"/>
      <c r="C217" s="19" t="n"/>
      <c r="D217" s="19" t="n"/>
      <c r="E217" s="20" t="n"/>
      <c r="F217" s="17" t="n"/>
      <c r="G217" s="19" t="n"/>
      <c r="H217" s="19" t="n"/>
      <c r="I217" s="19" t="n"/>
      <c r="J217" s="25">
        <f>IF(A217="","",SUMIFS(Horas!$D$2:$D$301,Horas!$B$2:$B$301,A217,Horas!$E$2:$E$301,Parametros!$B$1))</f>
        <v/>
      </c>
      <c r="K217" s="24">
        <f>IF(OR(A217="",G217&lt;&gt;"Activo"),"",IF(N(J217)=0,"Sin horas",E217/J217))</f>
        <v/>
      </c>
      <c r="L217" s="26">
        <f>IF(OR(A217="",G217&lt;&gt;"Activo"),"",IFERROR(E217/Tablero!$B$6,0))</f>
        <v/>
      </c>
      <c r="M217">
        <f>IF(NOT(ISNUMBER(K217)),"",IF(K217&lt;Parametros!$B$18,"BAJA",IF(K217&lt;Parametros!$B$18*1.25,"AJUSTADA","SANA")))</f>
        <v/>
      </c>
    </row>
    <row r="218">
      <c r="A218" s="19" t="n"/>
      <c r="B218" s="19" t="n"/>
      <c r="C218" s="19" t="n"/>
      <c r="D218" s="19" t="n"/>
      <c r="E218" s="20" t="n"/>
      <c r="F218" s="17" t="n"/>
      <c r="G218" s="19" t="n"/>
      <c r="H218" s="19" t="n"/>
      <c r="I218" s="19" t="n"/>
      <c r="J218" s="25">
        <f>IF(A218="","",SUMIFS(Horas!$D$2:$D$301,Horas!$B$2:$B$301,A218,Horas!$E$2:$E$301,Parametros!$B$1))</f>
        <v/>
      </c>
      <c r="K218" s="24">
        <f>IF(OR(A218="",G218&lt;&gt;"Activo"),"",IF(N(J218)=0,"Sin horas",E218/J218))</f>
        <v/>
      </c>
      <c r="L218" s="26">
        <f>IF(OR(A218="",G218&lt;&gt;"Activo"),"",IFERROR(E218/Tablero!$B$6,0))</f>
        <v/>
      </c>
      <c r="M218">
        <f>IF(NOT(ISNUMBER(K218)),"",IF(K218&lt;Parametros!$B$18,"BAJA",IF(K218&lt;Parametros!$B$18*1.25,"AJUSTADA","SANA")))</f>
        <v/>
      </c>
    </row>
    <row r="219">
      <c r="A219" s="19" t="n"/>
      <c r="B219" s="19" t="n"/>
      <c r="C219" s="19" t="n"/>
      <c r="D219" s="19" t="n"/>
      <c r="E219" s="20" t="n"/>
      <c r="F219" s="17" t="n"/>
      <c r="G219" s="19" t="n"/>
      <c r="H219" s="19" t="n"/>
      <c r="I219" s="19" t="n"/>
      <c r="J219" s="25">
        <f>IF(A219="","",SUMIFS(Horas!$D$2:$D$301,Horas!$B$2:$B$301,A219,Horas!$E$2:$E$301,Parametros!$B$1))</f>
        <v/>
      </c>
      <c r="K219" s="24">
        <f>IF(OR(A219="",G219&lt;&gt;"Activo"),"",IF(N(J219)=0,"Sin horas",E219/J219))</f>
        <v/>
      </c>
      <c r="L219" s="26">
        <f>IF(OR(A219="",G219&lt;&gt;"Activo"),"",IFERROR(E219/Tablero!$B$6,0))</f>
        <v/>
      </c>
      <c r="M219">
        <f>IF(NOT(ISNUMBER(K219)),"",IF(K219&lt;Parametros!$B$18,"BAJA",IF(K219&lt;Parametros!$B$18*1.25,"AJUSTADA","SANA")))</f>
        <v/>
      </c>
    </row>
    <row r="220">
      <c r="A220" s="19" t="n"/>
      <c r="B220" s="19" t="n"/>
      <c r="C220" s="19" t="n"/>
      <c r="D220" s="19" t="n"/>
      <c r="E220" s="20" t="n"/>
      <c r="F220" s="17" t="n"/>
      <c r="G220" s="19" t="n"/>
      <c r="H220" s="19" t="n"/>
      <c r="I220" s="19" t="n"/>
      <c r="J220" s="25">
        <f>IF(A220="","",SUMIFS(Horas!$D$2:$D$301,Horas!$B$2:$B$301,A220,Horas!$E$2:$E$301,Parametros!$B$1))</f>
        <v/>
      </c>
      <c r="K220" s="24">
        <f>IF(OR(A220="",G220&lt;&gt;"Activo"),"",IF(N(J220)=0,"Sin horas",E220/J220))</f>
        <v/>
      </c>
      <c r="L220" s="26">
        <f>IF(OR(A220="",G220&lt;&gt;"Activo"),"",IFERROR(E220/Tablero!$B$6,0))</f>
        <v/>
      </c>
      <c r="M220">
        <f>IF(NOT(ISNUMBER(K220)),"",IF(K220&lt;Parametros!$B$18,"BAJA",IF(K220&lt;Parametros!$B$18*1.25,"AJUSTADA","SANA")))</f>
        <v/>
      </c>
    </row>
    <row r="221">
      <c r="A221" s="19" t="n"/>
      <c r="B221" s="19" t="n"/>
      <c r="C221" s="19" t="n"/>
      <c r="D221" s="19" t="n"/>
      <c r="E221" s="20" t="n"/>
      <c r="F221" s="17" t="n"/>
      <c r="G221" s="19" t="n"/>
      <c r="H221" s="19" t="n"/>
      <c r="I221" s="19" t="n"/>
      <c r="J221" s="25">
        <f>IF(A221="","",SUMIFS(Horas!$D$2:$D$301,Horas!$B$2:$B$301,A221,Horas!$E$2:$E$301,Parametros!$B$1))</f>
        <v/>
      </c>
      <c r="K221" s="24">
        <f>IF(OR(A221="",G221&lt;&gt;"Activo"),"",IF(N(J221)=0,"Sin horas",E221/J221))</f>
        <v/>
      </c>
      <c r="L221" s="26">
        <f>IF(OR(A221="",G221&lt;&gt;"Activo"),"",IFERROR(E221/Tablero!$B$6,0))</f>
        <v/>
      </c>
      <c r="M221">
        <f>IF(NOT(ISNUMBER(K221)),"",IF(K221&lt;Parametros!$B$18,"BAJA",IF(K221&lt;Parametros!$B$18*1.25,"AJUSTADA","SANA")))</f>
        <v/>
      </c>
    </row>
    <row r="222">
      <c r="A222" s="19" t="n"/>
      <c r="B222" s="19" t="n"/>
      <c r="C222" s="19" t="n"/>
      <c r="D222" s="19" t="n"/>
      <c r="E222" s="20" t="n"/>
      <c r="F222" s="17" t="n"/>
      <c r="G222" s="19" t="n"/>
      <c r="H222" s="19" t="n"/>
      <c r="I222" s="19" t="n"/>
      <c r="J222" s="25">
        <f>IF(A222="","",SUMIFS(Horas!$D$2:$D$301,Horas!$B$2:$B$301,A222,Horas!$E$2:$E$301,Parametros!$B$1))</f>
        <v/>
      </c>
      <c r="K222" s="24">
        <f>IF(OR(A222="",G222&lt;&gt;"Activo"),"",IF(N(J222)=0,"Sin horas",E222/J222))</f>
        <v/>
      </c>
      <c r="L222" s="26">
        <f>IF(OR(A222="",G222&lt;&gt;"Activo"),"",IFERROR(E222/Tablero!$B$6,0))</f>
        <v/>
      </c>
      <c r="M222">
        <f>IF(NOT(ISNUMBER(K222)),"",IF(K222&lt;Parametros!$B$18,"BAJA",IF(K222&lt;Parametros!$B$18*1.25,"AJUSTADA","SANA")))</f>
        <v/>
      </c>
    </row>
    <row r="223">
      <c r="A223" s="19" t="n"/>
      <c r="B223" s="19" t="n"/>
      <c r="C223" s="19" t="n"/>
      <c r="D223" s="19" t="n"/>
      <c r="E223" s="20" t="n"/>
      <c r="F223" s="17" t="n"/>
      <c r="G223" s="19" t="n"/>
      <c r="H223" s="19" t="n"/>
      <c r="I223" s="19" t="n"/>
      <c r="J223" s="25">
        <f>IF(A223="","",SUMIFS(Horas!$D$2:$D$301,Horas!$B$2:$B$301,A223,Horas!$E$2:$E$301,Parametros!$B$1))</f>
        <v/>
      </c>
      <c r="K223" s="24">
        <f>IF(OR(A223="",G223&lt;&gt;"Activo"),"",IF(N(J223)=0,"Sin horas",E223/J223))</f>
        <v/>
      </c>
      <c r="L223" s="26">
        <f>IF(OR(A223="",G223&lt;&gt;"Activo"),"",IFERROR(E223/Tablero!$B$6,0))</f>
        <v/>
      </c>
      <c r="M223">
        <f>IF(NOT(ISNUMBER(K223)),"",IF(K223&lt;Parametros!$B$18,"BAJA",IF(K223&lt;Parametros!$B$18*1.25,"AJUSTADA","SANA")))</f>
        <v/>
      </c>
    </row>
    <row r="224">
      <c r="A224" s="19" t="n"/>
      <c r="B224" s="19" t="n"/>
      <c r="C224" s="19" t="n"/>
      <c r="D224" s="19" t="n"/>
      <c r="E224" s="20" t="n"/>
      <c r="F224" s="17" t="n"/>
      <c r="G224" s="19" t="n"/>
      <c r="H224" s="19" t="n"/>
      <c r="I224" s="19" t="n"/>
      <c r="J224" s="25">
        <f>IF(A224="","",SUMIFS(Horas!$D$2:$D$301,Horas!$B$2:$B$301,A224,Horas!$E$2:$E$301,Parametros!$B$1))</f>
        <v/>
      </c>
      <c r="K224" s="24">
        <f>IF(OR(A224="",G224&lt;&gt;"Activo"),"",IF(N(J224)=0,"Sin horas",E224/J224))</f>
        <v/>
      </c>
      <c r="L224" s="26">
        <f>IF(OR(A224="",G224&lt;&gt;"Activo"),"",IFERROR(E224/Tablero!$B$6,0))</f>
        <v/>
      </c>
      <c r="M224">
        <f>IF(NOT(ISNUMBER(K224)),"",IF(K224&lt;Parametros!$B$18,"BAJA",IF(K224&lt;Parametros!$B$18*1.25,"AJUSTADA","SANA")))</f>
        <v/>
      </c>
    </row>
    <row r="225">
      <c r="A225" s="19" t="n"/>
      <c r="B225" s="19" t="n"/>
      <c r="C225" s="19" t="n"/>
      <c r="D225" s="19" t="n"/>
      <c r="E225" s="20" t="n"/>
      <c r="F225" s="17" t="n"/>
      <c r="G225" s="19" t="n"/>
      <c r="H225" s="19" t="n"/>
      <c r="I225" s="19" t="n"/>
      <c r="J225" s="25">
        <f>IF(A225="","",SUMIFS(Horas!$D$2:$D$301,Horas!$B$2:$B$301,A225,Horas!$E$2:$E$301,Parametros!$B$1))</f>
        <v/>
      </c>
      <c r="K225" s="24">
        <f>IF(OR(A225="",G225&lt;&gt;"Activo"),"",IF(N(J225)=0,"Sin horas",E225/J225))</f>
        <v/>
      </c>
      <c r="L225" s="26">
        <f>IF(OR(A225="",G225&lt;&gt;"Activo"),"",IFERROR(E225/Tablero!$B$6,0))</f>
        <v/>
      </c>
      <c r="M225">
        <f>IF(NOT(ISNUMBER(K225)),"",IF(K225&lt;Parametros!$B$18,"BAJA",IF(K225&lt;Parametros!$B$18*1.25,"AJUSTADA","SANA")))</f>
        <v/>
      </c>
    </row>
    <row r="226">
      <c r="A226" s="19" t="n"/>
      <c r="B226" s="19" t="n"/>
      <c r="C226" s="19" t="n"/>
      <c r="D226" s="19" t="n"/>
      <c r="E226" s="20" t="n"/>
      <c r="F226" s="17" t="n"/>
      <c r="G226" s="19" t="n"/>
      <c r="H226" s="19" t="n"/>
      <c r="I226" s="19" t="n"/>
      <c r="J226" s="25">
        <f>IF(A226="","",SUMIFS(Horas!$D$2:$D$301,Horas!$B$2:$B$301,A226,Horas!$E$2:$E$301,Parametros!$B$1))</f>
        <v/>
      </c>
      <c r="K226" s="24">
        <f>IF(OR(A226="",G226&lt;&gt;"Activo"),"",IF(N(J226)=0,"Sin horas",E226/J226))</f>
        <v/>
      </c>
      <c r="L226" s="26">
        <f>IF(OR(A226="",G226&lt;&gt;"Activo"),"",IFERROR(E226/Tablero!$B$6,0))</f>
        <v/>
      </c>
      <c r="M226">
        <f>IF(NOT(ISNUMBER(K226)),"",IF(K226&lt;Parametros!$B$18,"BAJA",IF(K226&lt;Parametros!$B$18*1.25,"AJUSTADA","SANA")))</f>
        <v/>
      </c>
    </row>
    <row r="227">
      <c r="A227" s="19" t="n"/>
      <c r="B227" s="19" t="n"/>
      <c r="C227" s="19" t="n"/>
      <c r="D227" s="19" t="n"/>
      <c r="E227" s="20" t="n"/>
      <c r="F227" s="17" t="n"/>
      <c r="G227" s="19" t="n"/>
      <c r="H227" s="19" t="n"/>
      <c r="I227" s="19" t="n"/>
      <c r="J227" s="25">
        <f>IF(A227="","",SUMIFS(Horas!$D$2:$D$301,Horas!$B$2:$B$301,A227,Horas!$E$2:$E$301,Parametros!$B$1))</f>
        <v/>
      </c>
      <c r="K227" s="24">
        <f>IF(OR(A227="",G227&lt;&gt;"Activo"),"",IF(N(J227)=0,"Sin horas",E227/J227))</f>
        <v/>
      </c>
      <c r="L227" s="26">
        <f>IF(OR(A227="",G227&lt;&gt;"Activo"),"",IFERROR(E227/Tablero!$B$6,0))</f>
        <v/>
      </c>
      <c r="M227">
        <f>IF(NOT(ISNUMBER(K227)),"",IF(K227&lt;Parametros!$B$18,"BAJA",IF(K227&lt;Parametros!$B$18*1.25,"AJUSTADA","SANA")))</f>
        <v/>
      </c>
    </row>
    <row r="228">
      <c r="A228" s="19" t="n"/>
      <c r="B228" s="19" t="n"/>
      <c r="C228" s="19" t="n"/>
      <c r="D228" s="19" t="n"/>
      <c r="E228" s="20" t="n"/>
      <c r="F228" s="17" t="n"/>
      <c r="G228" s="19" t="n"/>
      <c r="H228" s="19" t="n"/>
      <c r="I228" s="19" t="n"/>
      <c r="J228" s="25">
        <f>IF(A228="","",SUMIFS(Horas!$D$2:$D$301,Horas!$B$2:$B$301,A228,Horas!$E$2:$E$301,Parametros!$B$1))</f>
        <v/>
      </c>
      <c r="K228" s="24">
        <f>IF(OR(A228="",G228&lt;&gt;"Activo"),"",IF(N(J228)=0,"Sin horas",E228/J228))</f>
        <v/>
      </c>
      <c r="L228" s="26">
        <f>IF(OR(A228="",G228&lt;&gt;"Activo"),"",IFERROR(E228/Tablero!$B$6,0))</f>
        <v/>
      </c>
      <c r="M228">
        <f>IF(NOT(ISNUMBER(K228)),"",IF(K228&lt;Parametros!$B$18,"BAJA",IF(K228&lt;Parametros!$B$18*1.25,"AJUSTADA","SANA")))</f>
        <v/>
      </c>
    </row>
    <row r="229">
      <c r="A229" s="19" t="n"/>
      <c r="B229" s="19" t="n"/>
      <c r="C229" s="19" t="n"/>
      <c r="D229" s="19" t="n"/>
      <c r="E229" s="20" t="n"/>
      <c r="F229" s="17" t="n"/>
      <c r="G229" s="19" t="n"/>
      <c r="H229" s="19" t="n"/>
      <c r="I229" s="19" t="n"/>
      <c r="J229" s="25">
        <f>IF(A229="","",SUMIFS(Horas!$D$2:$D$301,Horas!$B$2:$B$301,A229,Horas!$E$2:$E$301,Parametros!$B$1))</f>
        <v/>
      </c>
      <c r="K229" s="24">
        <f>IF(OR(A229="",G229&lt;&gt;"Activo"),"",IF(N(J229)=0,"Sin horas",E229/J229))</f>
        <v/>
      </c>
      <c r="L229" s="26">
        <f>IF(OR(A229="",G229&lt;&gt;"Activo"),"",IFERROR(E229/Tablero!$B$6,0))</f>
        <v/>
      </c>
      <c r="M229">
        <f>IF(NOT(ISNUMBER(K229)),"",IF(K229&lt;Parametros!$B$18,"BAJA",IF(K229&lt;Parametros!$B$18*1.25,"AJUSTADA","SANA")))</f>
        <v/>
      </c>
    </row>
    <row r="230">
      <c r="A230" s="19" t="n"/>
      <c r="B230" s="19" t="n"/>
      <c r="C230" s="19" t="n"/>
      <c r="D230" s="19" t="n"/>
      <c r="E230" s="20" t="n"/>
      <c r="F230" s="17" t="n"/>
      <c r="G230" s="19" t="n"/>
      <c r="H230" s="19" t="n"/>
      <c r="I230" s="19" t="n"/>
      <c r="J230" s="25">
        <f>IF(A230="","",SUMIFS(Horas!$D$2:$D$301,Horas!$B$2:$B$301,A230,Horas!$E$2:$E$301,Parametros!$B$1))</f>
        <v/>
      </c>
      <c r="K230" s="24">
        <f>IF(OR(A230="",G230&lt;&gt;"Activo"),"",IF(N(J230)=0,"Sin horas",E230/J230))</f>
        <v/>
      </c>
      <c r="L230" s="26">
        <f>IF(OR(A230="",G230&lt;&gt;"Activo"),"",IFERROR(E230/Tablero!$B$6,0))</f>
        <v/>
      </c>
      <c r="M230">
        <f>IF(NOT(ISNUMBER(K230)),"",IF(K230&lt;Parametros!$B$18,"BAJA",IF(K230&lt;Parametros!$B$18*1.25,"AJUSTADA","SANA")))</f>
        <v/>
      </c>
    </row>
    <row r="231">
      <c r="A231" s="19" t="n"/>
      <c r="B231" s="19" t="n"/>
      <c r="C231" s="19" t="n"/>
      <c r="D231" s="19" t="n"/>
      <c r="E231" s="20" t="n"/>
      <c r="F231" s="17" t="n"/>
      <c r="G231" s="19" t="n"/>
      <c r="H231" s="19" t="n"/>
      <c r="I231" s="19" t="n"/>
      <c r="J231" s="25">
        <f>IF(A231="","",SUMIFS(Horas!$D$2:$D$301,Horas!$B$2:$B$301,A231,Horas!$E$2:$E$301,Parametros!$B$1))</f>
        <v/>
      </c>
      <c r="K231" s="24">
        <f>IF(OR(A231="",G231&lt;&gt;"Activo"),"",IF(N(J231)=0,"Sin horas",E231/J231))</f>
        <v/>
      </c>
      <c r="L231" s="26">
        <f>IF(OR(A231="",G231&lt;&gt;"Activo"),"",IFERROR(E231/Tablero!$B$6,0))</f>
        <v/>
      </c>
      <c r="M231">
        <f>IF(NOT(ISNUMBER(K231)),"",IF(K231&lt;Parametros!$B$18,"BAJA",IF(K231&lt;Parametros!$B$18*1.25,"AJUSTADA","SANA")))</f>
        <v/>
      </c>
    </row>
    <row r="232">
      <c r="A232" s="19" t="n"/>
      <c r="B232" s="19" t="n"/>
      <c r="C232" s="19" t="n"/>
      <c r="D232" s="19" t="n"/>
      <c r="E232" s="20" t="n"/>
      <c r="F232" s="17" t="n"/>
      <c r="G232" s="19" t="n"/>
      <c r="H232" s="19" t="n"/>
      <c r="I232" s="19" t="n"/>
      <c r="J232" s="25">
        <f>IF(A232="","",SUMIFS(Horas!$D$2:$D$301,Horas!$B$2:$B$301,A232,Horas!$E$2:$E$301,Parametros!$B$1))</f>
        <v/>
      </c>
      <c r="K232" s="24">
        <f>IF(OR(A232="",G232&lt;&gt;"Activo"),"",IF(N(J232)=0,"Sin horas",E232/J232))</f>
        <v/>
      </c>
      <c r="L232" s="26">
        <f>IF(OR(A232="",G232&lt;&gt;"Activo"),"",IFERROR(E232/Tablero!$B$6,0))</f>
        <v/>
      </c>
      <c r="M232">
        <f>IF(NOT(ISNUMBER(K232)),"",IF(K232&lt;Parametros!$B$18,"BAJA",IF(K232&lt;Parametros!$B$18*1.25,"AJUSTADA","SANA")))</f>
        <v/>
      </c>
    </row>
    <row r="233">
      <c r="A233" s="19" t="n"/>
      <c r="B233" s="19" t="n"/>
      <c r="C233" s="19" t="n"/>
      <c r="D233" s="19" t="n"/>
      <c r="E233" s="20" t="n"/>
      <c r="F233" s="17" t="n"/>
      <c r="G233" s="19" t="n"/>
      <c r="H233" s="19" t="n"/>
      <c r="I233" s="19" t="n"/>
      <c r="J233" s="25">
        <f>IF(A233="","",SUMIFS(Horas!$D$2:$D$301,Horas!$B$2:$B$301,A233,Horas!$E$2:$E$301,Parametros!$B$1))</f>
        <v/>
      </c>
      <c r="K233" s="24">
        <f>IF(OR(A233="",G233&lt;&gt;"Activo"),"",IF(N(J233)=0,"Sin horas",E233/J233))</f>
        <v/>
      </c>
      <c r="L233" s="26">
        <f>IF(OR(A233="",G233&lt;&gt;"Activo"),"",IFERROR(E233/Tablero!$B$6,0))</f>
        <v/>
      </c>
      <c r="M233">
        <f>IF(NOT(ISNUMBER(K233)),"",IF(K233&lt;Parametros!$B$18,"BAJA",IF(K233&lt;Parametros!$B$18*1.25,"AJUSTADA","SANA")))</f>
        <v/>
      </c>
    </row>
    <row r="234">
      <c r="A234" s="19" t="n"/>
      <c r="B234" s="19" t="n"/>
      <c r="C234" s="19" t="n"/>
      <c r="D234" s="19" t="n"/>
      <c r="E234" s="20" t="n"/>
      <c r="F234" s="17" t="n"/>
      <c r="G234" s="19" t="n"/>
      <c r="H234" s="19" t="n"/>
      <c r="I234" s="19" t="n"/>
      <c r="J234" s="25">
        <f>IF(A234="","",SUMIFS(Horas!$D$2:$D$301,Horas!$B$2:$B$301,A234,Horas!$E$2:$E$301,Parametros!$B$1))</f>
        <v/>
      </c>
      <c r="K234" s="24">
        <f>IF(OR(A234="",G234&lt;&gt;"Activo"),"",IF(N(J234)=0,"Sin horas",E234/J234))</f>
        <v/>
      </c>
      <c r="L234" s="26">
        <f>IF(OR(A234="",G234&lt;&gt;"Activo"),"",IFERROR(E234/Tablero!$B$6,0))</f>
        <v/>
      </c>
      <c r="M234">
        <f>IF(NOT(ISNUMBER(K234)),"",IF(K234&lt;Parametros!$B$18,"BAJA",IF(K234&lt;Parametros!$B$18*1.25,"AJUSTADA","SANA")))</f>
        <v/>
      </c>
    </row>
    <row r="235">
      <c r="A235" s="19" t="n"/>
      <c r="B235" s="19" t="n"/>
      <c r="C235" s="19" t="n"/>
      <c r="D235" s="19" t="n"/>
      <c r="E235" s="20" t="n"/>
      <c r="F235" s="17" t="n"/>
      <c r="G235" s="19" t="n"/>
      <c r="H235" s="19" t="n"/>
      <c r="I235" s="19" t="n"/>
      <c r="J235" s="25">
        <f>IF(A235="","",SUMIFS(Horas!$D$2:$D$301,Horas!$B$2:$B$301,A235,Horas!$E$2:$E$301,Parametros!$B$1))</f>
        <v/>
      </c>
      <c r="K235" s="24">
        <f>IF(OR(A235="",G235&lt;&gt;"Activo"),"",IF(N(J235)=0,"Sin horas",E235/J235))</f>
        <v/>
      </c>
      <c r="L235" s="26">
        <f>IF(OR(A235="",G235&lt;&gt;"Activo"),"",IFERROR(E235/Tablero!$B$6,0))</f>
        <v/>
      </c>
      <c r="M235">
        <f>IF(NOT(ISNUMBER(K235)),"",IF(K235&lt;Parametros!$B$18,"BAJA",IF(K235&lt;Parametros!$B$18*1.25,"AJUSTADA","SANA")))</f>
        <v/>
      </c>
    </row>
    <row r="236">
      <c r="A236" s="19" t="n"/>
      <c r="B236" s="19" t="n"/>
      <c r="C236" s="19" t="n"/>
      <c r="D236" s="19" t="n"/>
      <c r="E236" s="20" t="n"/>
      <c r="F236" s="17" t="n"/>
      <c r="G236" s="19" t="n"/>
      <c r="H236" s="19" t="n"/>
      <c r="I236" s="19" t="n"/>
      <c r="J236" s="25">
        <f>IF(A236="","",SUMIFS(Horas!$D$2:$D$301,Horas!$B$2:$B$301,A236,Horas!$E$2:$E$301,Parametros!$B$1))</f>
        <v/>
      </c>
      <c r="K236" s="24">
        <f>IF(OR(A236="",G236&lt;&gt;"Activo"),"",IF(N(J236)=0,"Sin horas",E236/J236))</f>
        <v/>
      </c>
      <c r="L236" s="26">
        <f>IF(OR(A236="",G236&lt;&gt;"Activo"),"",IFERROR(E236/Tablero!$B$6,0))</f>
        <v/>
      </c>
      <c r="M236">
        <f>IF(NOT(ISNUMBER(K236)),"",IF(K236&lt;Parametros!$B$18,"BAJA",IF(K236&lt;Parametros!$B$18*1.25,"AJUSTADA","SANA")))</f>
        <v/>
      </c>
    </row>
    <row r="237">
      <c r="A237" s="19" t="n"/>
      <c r="B237" s="19" t="n"/>
      <c r="C237" s="19" t="n"/>
      <c r="D237" s="19" t="n"/>
      <c r="E237" s="20" t="n"/>
      <c r="F237" s="17" t="n"/>
      <c r="G237" s="19" t="n"/>
      <c r="H237" s="19" t="n"/>
      <c r="I237" s="19" t="n"/>
      <c r="J237" s="25">
        <f>IF(A237="","",SUMIFS(Horas!$D$2:$D$301,Horas!$B$2:$B$301,A237,Horas!$E$2:$E$301,Parametros!$B$1))</f>
        <v/>
      </c>
      <c r="K237" s="24">
        <f>IF(OR(A237="",G237&lt;&gt;"Activo"),"",IF(N(J237)=0,"Sin horas",E237/J237))</f>
        <v/>
      </c>
      <c r="L237" s="26">
        <f>IF(OR(A237="",G237&lt;&gt;"Activo"),"",IFERROR(E237/Tablero!$B$6,0))</f>
        <v/>
      </c>
      <c r="M237">
        <f>IF(NOT(ISNUMBER(K237)),"",IF(K237&lt;Parametros!$B$18,"BAJA",IF(K237&lt;Parametros!$B$18*1.25,"AJUSTADA","SANA")))</f>
        <v/>
      </c>
    </row>
    <row r="238">
      <c r="A238" s="19" t="n"/>
      <c r="B238" s="19" t="n"/>
      <c r="C238" s="19" t="n"/>
      <c r="D238" s="19" t="n"/>
      <c r="E238" s="20" t="n"/>
      <c r="F238" s="17" t="n"/>
      <c r="G238" s="19" t="n"/>
      <c r="H238" s="19" t="n"/>
      <c r="I238" s="19" t="n"/>
      <c r="J238" s="25">
        <f>IF(A238="","",SUMIFS(Horas!$D$2:$D$301,Horas!$B$2:$B$301,A238,Horas!$E$2:$E$301,Parametros!$B$1))</f>
        <v/>
      </c>
      <c r="K238" s="24">
        <f>IF(OR(A238="",G238&lt;&gt;"Activo"),"",IF(N(J238)=0,"Sin horas",E238/J238))</f>
        <v/>
      </c>
      <c r="L238" s="26">
        <f>IF(OR(A238="",G238&lt;&gt;"Activo"),"",IFERROR(E238/Tablero!$B$6,0))</f>
        <v/>
      </c>
      <c r="M238">
        <f>IF(NOT(ISNUMBER(K238)),"",IF(K238&lt;Parametros!$B$18,"BAJA",IF(K238&lt;Parametros!$B$18*1.25,"AJUSTADA","SANA")))</f>
        <v/>
      </c>
    </row>
    <row r="239">
      <c r="A239" s="19" t="n"/>
      <c r="B239" s="19" t="n"/>
      <c r="C239" s="19" t="n"/>
      <c r="D239" s="19" t="n"/>
      <c r="E239" s="20" t="n"/>
      <c r="F239" s="17" t="n"/>
      <c r="G239" s="19" t="n"/>
      <c r="H239" s="19" t="n"/>
      <c r="I239" s="19" t="n"/>
      <c r="J239" s="25">
        <f>IF(A239="","",SUMIFS(Horas!$D$2:$D$301,Horas!$B$2:$B$301,A239,Horas!$E$2:$E$301,Parametros!$B$1))</f>
        <v/>
      </c>
      <c r="K239" s="24">
        <f>IF(OR(A239="",G239&lt;&gt;"Activo"),"",IF(N(J239)=0,"Sin horas",E239/J239))</f>
        <v/>
      </c>
      <c r="L239" s="26">
        <f>IF(OR(A239="",G239&lt;&gt;"Activo"),"",IFERROR(E239/Tablero!$B$6,0))</f>
        <v/>
      </c>
      <c r="M239">
        <f>IF(NOT(ISNUMBER(K239)),"",IF(K239&lt;Parametros!$B$18,"BAJA",IF(K239&lt;Parametros!$B$18*1.25,"AJUSTADA","SANA")))</f>
        <v/>
      </c>
    </row>
    <row r="240">
      <c r="A240" s="19" t="n"/>
      <c r="B240" s="19" t="n"/>
      <c r="C240" s="19" t="n"/>
      <c r="D240" s="19" t="n"/>
      <c r="E240" s="20" t="n"/>
      <c r="F240" s="17" t="n"/>
      <c r="G240" s="19" t="n"/>
      <c r="H240" s="19" t="n"/>
      <c r="I240" s="19" t="n"/>
      <c r="J240" s="25">
        <f>IF(A240="","",SUMIFS(Horas!$D$2:$D$301,Horas!$B$2:$B$301,A240,Horas!$E$2:$E$301,Parametros!$B$1))</f>
        <v/>
      </c>
      <c r="K240" s="24">
        <f>IF(OR(A240="",G240&lt;&gt;"Activo"),"",IF(N(J240)=0,"Sin horas",E240/J240))</f>
        <v/>
      </c>
      <c r="L240" s="26">
        <f>IF(OR(A240="",G240&lt;&gt;"Activo"),"",IFERROR(E240/Tablero!$B$6,0))</f>
        <v/>
      </c>
      <c r="M240">
        <f>IF(NOT(ISNUMBER(K240)),"",IF(K240&lt;Parametros!$B$18,"BAJA",IF(K240&lt;Parametros!$B$18*1.25,"AJUSTADA","SANA")))</f>
        <v/>
      </c>
    </row>
    <row r="241">
      <c r="A241" s="19" t="n"/>
      <c r="B241" s="19" t="n"/>
      <c r="C241" s="19" t="n"/>
      <c r="D241" s="19" t="n"/>
      <c r="E241" s="20" t="n"/>
      <c r="F241" s="17" t="n"/>
      <c r="G241" s="19" t="n"/>
      <c r="H241" s="19" t="n"/>
      <c r="I241" s="19" t="n"/>
      <c r="J241" s="25">
        <f>IF(A241="","",SUMIFS(Horas!$D$2:$D$301,Horas!$B$2:$B$301,A241,Horas!$E$2:$E$301,Parametros!$B$1))</f>
        <v/>
      </c>
      <c r="K241" s="24">
        <f>IF(OR(A241="",G241&lt;&gt;"Activo"),"",IF(N(J241)=0,"Sin horas",E241/J241))</f>
        <v/>
      </c>
      <c r="L241" s="26">
        <f>IF(OR(A241="",G241&lt;&gt;"Activo"),"",IFERROR(E241/Tablero!$B$6,0))</f>
        <v/>
      </c>
      <c r="M241">
        <f>IF(NOT(ISNUMBER(K241)),"",IF(K241&lt;Parametros!$B$18,"BAJA",IF(K241&lt;Parametros!$B$18*1.25,"AJUSTADA","SANA")))</f>
        <v/>
      </c>
    </row>
    <row r="242">
      <c r="A242" s="19" t="n"/>
      <c r="B242" s="19" t="n"/>
      <c r="C242" s="19" t="n"/>
      <c r="D242" s="19" t="n"/>
      <c r="E242" s="20" t="n"/>
      <c r="F242" s="17" t="n"/>
      <c r="G242" s="19" t="n"/>
      <c r="H242" s="19" t="n"/>
      <c r="I242" s="19" t="n"/>
      <c r="J242" s="25">
        <f>IF(A242="","",SUMIFS(Horas!$D$2:$D$301,Horas!$B$2:$B$301,A242,Horas!$E$2:$E$301,Parametros!$B$1))</f>
        <v/>
      </c>
      <c r="K242" s="24">
        <f>IF(OR(A242="",G242&lt;&gt;"Activo"),"",IF(N(J242)=0,"Sin horas",E242/J242))</f>
        <v/>
      </c>
      <c r="L242" s="26">
        <f>IF(OR(A242="",G242&lt;&gt;"Activo"),"",IFERROR(E242/Tablero!$B$6,0))</f>
        <v/>
      </c>
      <c r="M242">
        <f>IF(NOT(ISNUMBER(K242)),"",IF(K242&lt;Parametros!$B$18,"BAJA",IF(K242&lt;Parametros!$B$18*1.25,"AJUSTADA","SANA")))</f>
        <v/>
      </c>
    </row>
    <row r="243">
      <c r="A243" s="19" t="n"/>
      <c r="B243" s="19" t="n"/>
      <c r="C243" s="19" t="n"/>
      <c r="D243" s="19" t="n"/>
      <c r="E243" s="20" t="n"/>
      <c r="F243" s="17" t="n"/>
      <c r="G243" s="19" t="n"/>
      <c r="H243" s="19" t="n"/>
      <c r="I243" s="19" t="n"/>
      <c r="J243" s="25">
        <f>IF(A243="","",SUMIFS(Horas!$D$2:$D$301,Horas!$B$2:$B$301,A243,Horas!$E$2:$E$301,Parametros!$B$1))</f>
        <v/>
      </c>
      <c r="K243" s="24">
        <f>IF(OR(A243="",G243&lt;&gt;"Activo"),"",IF(N(J243)=0,"Sin horas",E243/J243))</f>
        <v/>
      </c>
      <c r="L243" s="26">
        <f>IF(OR(A243="",G243&lt;&gt;"Activo"),"",IFERROR(E243/Tablero!$B$6,0))</f>
        <v/>
      </c>
      <c r="M243">
        <f>IF(NOT(ISNUMBER(K243)),"",IF(K243&lt;Parametros!$B$18,"BAJA",IF(K243&lt;Parametros!$B$18*1.25,"AJUSTADA","SANA")))</f>
        <v/>
      </c>
    </row>
    <row r="244">
      <c r="A244" s="19" t="n"/>
      <c r="B244" s="19" t="n"/>
      <c r="C244" s="19" t="n"/>
      <c r="D244" s="19" t="n"/>
      <c r="E244" s="20" t="n"/>
      <c r="F244" s="17" t="n"/>
      <c r="G244" s="19" t="n"/>
      <c r="H244" s="19" t="n"/>
      <c r="I244" s="19" t="n"/>
      <c r="J244" s="25">
        <f>IF(A244="","",SUMIFS(Horas!$D$2:$D$301,Horas!$B$2:$B$301,A244,Horas!$E$2:$E$301,Parametros!$B$1))</f>
        <v/>
      </c>
      <c r="K244" s="24">
        <f>IF(OR(A244="",G244&lt;&gt;"Activo"),"",IF(N(J244)=0,"Sin horas",E244/J244))</f>
        <v/>
      </c>
      <c r="L244" s="26">
        <f>IF(OR(A244="",G244&lt;&gt;"Activo"),"",IFERROR(E244/Tablero!$B$6,0))</f>
        <v/>
      </c>
      <c r="M244">
        <f>IF(NOT(ISNUMBER(K244)),"",IF(K244&lt;Parametros!$B$18,"BAJA",IF(K244&lt;Parametros!$B$18*1.25,"AJUSTADA","SANA")))</f>
        <v/>
      </c>
    </row>
    <row r="245">
      <c r="A245" s="19" t="n"/>
      <c r="B245" s="19" t="n"/>
      <c r="C245" s="19" t="n"/>
      <c r="D245" s="19" t="n"/>
      <c r="E245" s="20" t="n"/>
      <c r="F245" s="17" t="n"/>
      <c r="G245" s="19" t="n"/>
      <c r="H245" s="19" t="n"/>
      <c r="I245" s="19" t="n"/>
      <c r="J245" s="25">
        <f>IF(A245="","",SUMIFS(Horas!$D$2:$D$301,Horas!$B$2:$B$301,A245,Horas!$E$2:$E$301,Parametros!$B$1))</f>
        <v/>
      </c>
      <c r="K245" s="24">
        <f>IF(OR(A245="",G245&lt;&gt;"Activo"),"",IF(N(J245)=0,"Sin horas",E245/J245))</f>
        <v/>
      </c>
      <c r="L245" s="26">
        <f>IF(OR(A245="",G245&lt;&gt;"Activo"),"",IFERROR(E245/Tablero!$B$6,0))</f>
        <v/>
      </c>
      <c r="M245">
        <f>IF(NOT(ISNUMBER(K245)),"",IF(K245&lt;Parametros!$B$18,"BAJA",IF(K245&lt;Parametros!$B$18*1.25,"AJUSTADA","SANA")))</f>
        <v/>
      </c>
    </row>
    <row r="246">
      <c r="A246" s="19" t="n"/>
      <c r="B246" s="19" t="n"/>
      <c r="C246" s="19" t="n"/>
      <c r="D246" s="19" t="n"/>
      <c r="E246" s="20" t="n"/>
      <c r="F246" s="17" t="n"/>
      <c r="G246" s="19" t="n"/>
      <c r="H246" s="19" t="n"/>
      <c r="I246" s="19" t="n"/>
      <c r="J246" s="25">
        <f>IF(A246="","",SUMIFS(Horas!$D$2:$D$301,Horas!$B$2:$B$301,A246,Horas!$E$2:$E$301,Parametros!$B$1))</f>
        <v/>
      </c>
      <c r="K246" s="24">
        <f>IF(OR(A246="",G246&lt;&gt;"Activo"),"",IF(N(J246)=0,"Sin horas",E246/J246))</f>
        <v/>
      </c>
      <c r="L246" s="26">
        <f>IF(OR(A246="",G246&lt;&gt;"Activo"),"",IFERROR(E246/Tablero!$B$6,0))</f>
        <v/>
      </c>
      <c r="M246">
        <f>IF(NOT(ISNUMBER(K246)),"",IF(K246&lt;Parametros!$B$18,"BAJA",IF(K246&lt;Parametros!$B$18*1.25,"AJUSTADA","SANA")))</f>
        <v/>
      </c>
    </row>
    <row r="247">
      <c r="A247" s="19" t="n"/>
      <c r="B247" s="19" t="n"/>
      <c r="C247" s="19" t="n"/>
      <c r="D247" s="19" t="n"/>
      <c r="E247" s="20" t="n"/>
      <c r="F247" s="17" t="n"/>
      <c r="G247" s="19" t="n"/>
      <c r="H247" s="19" t="n"/>
      <c r="I247" s="19" t="n"/>
      <c r="J247" s="25">
        <f>IF(A247="","",SUMIFS(Horas!$D$2:$D$301,Horas!$B$2:$B$301,A247,Horas!$E$2:$E$301,Parametros!$B$1))</f>
        <v/>
      </c>
      <c r="K247" s="24">
        <f>IF(OR(A247="",G247&lt;&gt;"Activo"),"",IF(N(J247)=0,"Sin horas",E247/J247))</f>
        <v/>
      </c>
      <c r="L247" s="26">
        <f>IF(OR(A247="",G247&lt;&gt;"Activo"),"",IFERROR(E247/Tablero!$B$6,0))</f>
        <v/>
      </c>
      <c r="M247">
        <f>IF(NOT(ISNUMBER(K247)),"",IF(K247&lt;Parametros!$B$18,"BAJA",IF(K247&lt;Parametros!$B$18*1.25,"AJUSTADA","SANA")))</f>
        <v/>
      </c>
    </row>
    <row r="248">
      <c r="A248" s="19" t="n"/>
      <c r="B248" s="19" t="n"/>
      <c r="C248" s="19" t="n"/>
      <c r="D248" s="19" t="n"/>
      <c r="E248" s="20" t="n"/>
      <c r="F248" s="17" t="n"/>
      <c r="G248" s="19" t="n"/>
      <c r="H248" s="19" t="n"/>
      <c r="I248" s="19" t="n"/>
      <c r="J248" s="25">
        <f>IF(A248="","",SUMIFS(Horas!$D$2:$D$301,Horas!$B$2:$B$301,A248,Horas!$E$2:$E$301,Parametros!$B$1))</f>
        <v/>
      </c>
      <c r="K248" s="24">
        <f>IF(OR(A248="",G248&lt;&gt;"Activo"),"",IF(N(J248)=0,"Sin horas",E248/J248))</f>
        <v/>
      </c>
      <c r="L248" s="26">
        <f>IF(OR(A248="",G248&lt;&gt;"Activo"),"",IFERROR(E248/Tablero!$B$6,0))</f>
        <v/>
      </c>
      <c r="M248">
        <f>IF(NOT(ISNUMBER(K248)),"",IF(K248&lt;Parametros!$B$18,"BAJA",IF(K248&lt;Parametros!$B$18*1.25,"AJUSTADA","SANA")))</f>
        <v/>
      </c>
    </row>
    <row r="249">
      <c r="A249" s="19" t="n"/>
      <c r="B249" s="19" t="n"/>
      <c r="C249" s="19" t="n"/>
      <c r="D249" s="19" t="n"/>
      <c r="E249" s="20" t="n"/>
      <c r="F249" s="17" t="n"/>
      <c r="G249" s="19" t="n"/>
      <c r="H249" s="19" t="n"/>
      <c r="I249" s="19" t="n"/>
      <c r="J249" s="25">
        <f>IF(A249="","",SUMIFS(Horas!$D$2:$D$301,Horas!$B$2:$B$301,A249,Horas!$E$2:$E$301,Parametros!$B$1))</f>
        <v/>
      </c>
      <c r="K249" s="24">
        <f>IF(OR(A249="",G249&lt;&gt;"Activo"),"",IF(N(J249)=0,"Sin horas",E249/J249))</f>
        <v/>
      </c>
      <c r="L249" s="26">
        <f>IF(OR(A249="",G249&lt;&gt;"Activo"),"",IFERROR(E249/Tablero!$B$6,0))</f>
        <v/>
      </c>
      <c r="M249">
        <f>IF(NOT(ISNUMBER(K249)),"",IF(K249&lt;Parametros!$B$18,"BAJA",IF(K249&lt;Parametros!$B$18*1.25,"AJUSTADA","SANA")))</f>
        <v/>
      </c>
    </row>
    <row r="250">
      <c r="A250" s="19" t="n"/>
      <c r="B250" s="19" t="n"/>
      <c r="C250" s="19" t="n"/>
      <c r="D250" s="19" t="n"/>
      <c r="E250" s="20" t="n"/>
      <c r="F250" s="17" t="n"/>
      <c r="G250" s="19" t="n"/>
      <c r="H250" s="19" t="n"/>
      <c r="I250" s="19" t="n"/>
      <c r="J250" s="25">
        <f>IF(A250="","",SUMIFS(Horas!$D$2:$D$301,Horas!$B$2:$B$301,A250,Horas!$E$2:$E$301,Parametros!$B$1))</f>
        <v/>
      </c>
      <c r="K250" s="24">
        <f>IF(OR(A250="",G250&lt;&gt;"Activo"),"",IF(N(J250)=0,"Sin horas",E250/J250))</f>
        <v/>
      </c>
      <c r="L250" s="26">
        <f>IF(OR(A250="",G250&lt;&gt;"Activo"),"",IFERROR(E250/Tablero!$B$6,0))</f>
        <v/>
      </c>
      <c r="M250">
        <f>IF(NOT(ISNUMBER(K250)),"",IF(K250&lt;Parametros!$B$18,"BAJA",IF(K250&lt;Parametros!$B$18*1.25,"AJUSTADA","SANA")))</f>
        <v/>
      </c>
    </row>
    <row r="251">
      <c r="A251" s="19" t="n"/>
      <c r="B251" s="19" t="n"/>
      <c r="C251" s="19" t="n"/>
      <c r="D251" s="19" t="n"/>
      <c r="E251" s="20" t="n"/>
      <c r="F251" s="17" t="n"/>
      <c r="G251" s="19" t="n"/>
      <c r="H251" s="19" t="n"/>
      <c r="I251" s="19" t="n"/>
      <c r="J251" s="25">
        <f>IF(A251="","",SUMIFS(Horas!$D$2:$D$301,Horas!$B$2:$B$301,A251,Horas!$E$2:$E$301,Parametros!$B$1))</f>
        <v/>
      </c>
      <c r="K251" s="24">
        <f>IF(OR(A251="",G251&lt;&gt;"Activo"),"",IF(N(J251)=0,"Sin horas",E251/J251))</f>
        <v/>
      </c>
      <c r="L251" s="26">
        <f>IF(OR(A251="",G251&lt;&gt;"Activo"),"",IFERROR(E251/Tablero!$B$6,0))</f>
        <v/>
      </c>
      <c r="M251">
        <f>IF(NOT(ISNUMBER(K251)),"",IF(K251&lt;Parametros!$B$18,"BAJA",IF(K251&lt;Parametros!$B$18*1.25,"AJUSTADA","SANA")))</f>
        <v/>
      </c>
    </row>
    <row r="252">
      <c r="A252" s="19" t="n"/>
      <c r="B252" s="19" t="n"/>
      <c r="C252" s="19" t="n"/>
      <c r="D252" s="19" t="n"/>
      <c r="E252" s="20" t="n"/>
      <c r="F252" s="17" t="n"/>
      <c r="G252" s="19" t="n"/>
      <c r="H252" s="19" t="n"/>
      <c r="I252" s="19" t="n"/>
      <c r="J252" s="25">
        <f>IF(A252="","",SUMIFS(Horas!$D$2:$D$301,Horas!$B$2:$B$301,A252,Horas!$E$2:$E$301,Parametros!$B$1))</f>
        <v/>
      </c>
      <c r="K252" s="24">
        <f>IF(OR(A252="",G252&lt;&gt;"Activo"),"",IF(N(J252)=0,"Sin horas",E252/J252))</f>
        <v/>
      </c>
      <c r="L252" s="26">
        <f>IF(OR(A252="",G252&lt;&gt;"Activo"),"",IFERROR(E252/Tablero!$B$6,0))</f>
        <v/>
      </c>
      <c r="M252">
        <f>IF(NOT(ISNUMBER(K252)),"",IF(K252&lt;Parametros!$B$18,"BAJA",IF(K252&lt;Parametros!$B$18*1.25,"AJUSTADA","SANA")))</f>
        <v/>
      </c>
    </row>
    <row r="253">
      <c r="A253" s="19" t="n"/>
      <c r="B253" s="19" t="n"/>
      <c r="C253" s="19" t="n"/>
      <c r="D253" s="19" t="n"/>
      <c r="E253" s="20" t="n"/>
      <c r="F253" s="17" t="n"/>
      <c r="G253" s="19" t="n"/>
      <c r="H253" s="19" t="n"/>
      <c r="I253" s="19" t="n"/>
      <c r="J253" s="25">
        <f>IF(A253="","",SUMIFS(Horas!$D$2:$D$301,Horas!$B$2:$B$301,A253,Horas!$E$2:$E$301,Parametros!$B$1))</f>
        <v/>
      </c>
      <c r="K253" s="24">
        <f>IF(OR(A253="",G253&lt;&gt;"Activo"),"",IF(N(J253)=0,"Sin horas",E253/J253))</f>
        <v/>
      </c>
      <c r="L253" s="26">
        <f>IF(OR(A253="",G253&lt;&gt;"Activo"),"",IFERROR(E253/Tablero!$B$6,0))</f>
        <v/>
      </c>
      <c r="M253">
        <f>IF(NOT(ISNUMBER(K253)),"",IF(K253&lt;Parametros!$B$18,"BAJA",IF(K253&lt;Parametros!$B$18*1.25,"AJUSTADA","SANA")))</f>
        <v/>
      </c>
    </row>
    <row r="254">
      <c r="A254" s="19" t="n"/>
      <c r="B254" s="19" t="n"/>
      <c r="C254" s="19" t="n"/>
      <c r="D254" s="19" t="n"/>
      <c r="E254" s="20" t="n"/>
      <c r="F254" s="17" t="n"/>
      <c r="G254" s="19" t="n"/>
      <c r="H254" s="19" t="n"/>
      <c r="I254" s="19" t="n"/>
      <c r="J254" s="25">
        <f>IF(A254="","",SUMIFS(Horas!$D$2:$D$301,Horas!$B$2:$B$301,A254,Horas!$E$2:$E$301,Parametros!$B$1))</f>
        <v/>
      </c>
      <c r="K254" s="24">
        <f>IF(OR(A254="",G254&lt;&gt;"Activo"),"",IF(N(J254)=0,"Sin horas",E254/J254))</f>
        <v/>
      </c>
      <c r="L254" s="26">
        <f>IF(OR(A254="",G254&lt;&gt;"Activo"),"",IFERROR(E254/Tablero!$B$6,0))</f>
        <v/>
      </c>
      <c r="M254">
        <f>IF(NOT(ISNUMBER(K254)),"",IF(K254&lt;Parametros!$B$18,"BAJA",IF(K254&lt;Parametros!$B$18*1.25,"AJUSTADA","SANA")))</f>
        <v/>
      </c>
    </row>
    <row r="255">
      <c r="A255" s="19" t="n"/>
      <c r="B255" s="19" t="n"/>
      <c r="C255" s="19" t="n"/>
      <c r="D255" s="19" t="n"/>
      <c r="E255" s="20" t="n"/>
      <c r="F255" s="17" t="n"/>
      <c r="G255" s="19" t="n"/>
      <c r="H255" s="19" t="n"/>
      <c r="I255" s="19" t="n"/>
      <c r="J255" s="25">
        <f>IF(A255="","",SUMIFS(Horas!$D$2:$D$301,Horas!$B$2:$B$301,A255,Horas!$E$2:$E$301,Parametros!$B$1))</f>
        <v/>
      </c>
      <c r="K255" s="24">
        <f>IF(OR(A255="",G255&lt;&gt;"Activo"),"",IF(N(J255)=0,"Sin horas",E255/J255))</f>
        <v/>
      </c>
      <c r="L255" s="26">
        <f>IF(OR(A255="",G255&lt;&gt;"Activo"),"",IFERROR(E255/Tablero!$B$6,0))</f>
        <v/>
      </c>
      <c r="M255">
        <f>IF(NOT(ISNUMBER(K255)),"",IF(K255&lt;Parametros!$B$18,"BAJA",IF(K255&lt;Parametros!$B$18*1.25,"AJUSTADA","SANA")))</f>
        <v/>
      </c>
    </row>
    <row r="256">
      <c r="A256" s="19" t="n"/>
      <c r="B256" s="19" t="n"/>
      <c r="C256" s="19" t="n"/>
      <c r="D256" s="19" t="n"/>
      <c r="E256" s="20" t="n"/>
      <c r="F256" s="17" t="n"/>
      <c r="G256" s="19" t="n"/>
      <c r="H256" s="19" t="n"/>
      <c r="I256" s="19" t="n"/>
      <c r="J256" s="25">
        <f>IF(A256="","",SUMIFS(Horas!$D$2:$D$301,Horas!$B$2:$B$301,A256,Horas!$E$2:$E$301,Parametros!$B$1))</f>
        <v/>
      </c>
      <c r="K256" s="24">
        <f>IF(OR(A256="",G256&lt;&gt;"Activo"),"",IF(N(J256)=0,"Sin horas",E256/J256))</f>
        <v/>
      </c>
      <c r="L256" s="26">
        <f>IF(OR(A256="",G256&lt;&gt;"Activo"),"",IFERROR(E256/Tablero!$B$6,0))</f>
        <v/>
      </c>
      <c r="M256">
        <f>IF(NOT(ISNUMBER(K256)),"",IF(K256&lt;Parametros!$B$18,"BAJA",IF(K256&lt;Parametros!$B$18*1.25,"AJUSTADA","SANA")))</f>
        <v/>
      </c>
    </row>
    <row r="257">
      <c r="A257" s="19" t="n"/>
      <c r="B257" s="19" t="n"/>
      <c r="C257" s="19" t="n"/>
      <c r="D257" s="19" t="n"/>
      <c r="E257" s="20" t="n"/>
      <c r="F257" s="17" t="n"/>
      <c r="G257" s="19" t="n"/>
      <c r="H257" s="19" t="n"/>
      <c r="I257" s="19" t="n"/>
      <c r="J257" s="25">
        <f>IF(A257="","",SUMIFS(Horas!$D$2:$D$301,Horas!$B$2:$B$301,A257,Horas!$E$2:$E$301,Parametros!$B$1))</f>
        <v/>
      </c>
      <c r="K257" s="24">
        <f>IF(OR(A257="",G257&lt;&gt;"Activo"),"",IF(N(J257)=0,"Sin horas",E257/J257))</f>
        <v/>
      </c>
      <c r="L257" s="26">
        <f>IF(OR(A257="",G257&lt;&gt;"Activo"),"",IFERROR(E257/Tablero!$B$6,0))</f>
        <v/>
      </c>
      <c r="M257">
        <f>IF(NOT(ISNUMBER(K257)),"",IF(K257&lt;Parametros!$B$18,"BAJA",IF(K257&lt;Parametros!$B$18*1.25,"AJUSTADA","SANA")))</f>
        <v/>
      </c>
    </row>
    <row r="258">
      <c r="A258" s="19" t="n"/>
      <c r="B258" s="19" t="n"/>
      <c r="C258" s="19" t="n"/>
      <c r="D258" s="19" t="n"/>
      <c r="E258" s="20" t="n"/>
      <c r="F258" s="17" t="n"/>
      <c r="G258" s="19" t="n"/>
      <c r="H258" s="19" t="n"/>
      <c r="I258" s="19" t="n"/>
      <c r="J258" s="25">
        <f>IF(A258="","",SUMIFS(Horas!$D$2:$D$301,Horas!$B$2:$B$301,A258,Horas!$E$2:$E$301,Parametros!$B$1))</f>
        <v/>
      </c>
      <c r="K258" s="24">
        <f>IF(OR(A258="",G258&lt;&gt;"Activo"),"",IF(N(J258)=0,"Sin horas",E258/J258))</f>
        <v/>
      </c>
      <c r="L258" s="26">
        <f>IF(OR(A258="",G258&lt;&gt;"Activo"),"",IFERROR(E258/Tablero!$B$6,0))</f>
        <v/>
      </c>
      <c r="M258">
        <f>IF(NOT(ISNUMBER(K258)),"",IF(K258&lt;Parametros!$B$18,"BAJA",IF(K258&lt;Parametros!$B$18*1.25,"AJUSTADA","SANA")))</f>
        <v/>
      </c>
    </row>
    <row r="259">
      <c r="A259" s="19" t="n"/>
      <c r="B259" s="19" t="n"/>
      <c r="C259" s="19" t="n"/>
      <c r="D259" s="19" t="n"/>
      <c r="E259" s="20" t="n"/>
      <c r="F259" s="17" t="n"/>
      <c r="G259" s="19" t="n"/>
      <c r="H259" s="19" t="n"/>
      <c r="I259" s="19" t="n"/>
      <c r="J259" s="25">
        <f>IF(A259="","",SUMIFS(Horas!$D$2:$D$301,Horas!$B$2:$B$301,A259,Horas!$E$2:$E$301,Parametros!$B$1))</f>
        <v/>
      </c>
      <c r="K259" s="24">
        <f>IF(OR(A259="",G259&lt;&gt;"Activo"),"",IF(N(J259)=0,"Sin horas",E259/J259))</f>
        <v/>
      </c>
      <c r="L259" s="26">
        <f>IF(OR(A259="",G259&lt;&gt;"Activo"),"",IFERROR(E259/Tablero!$B$6,0))</f>
        <v/>
      </c>
      <c r="M259">
        <f>IF(NOT(ISNUMBER(K259)),"",IF(K259&lt;Parametros!$B$18,"BAJA",IF(K259&lt;Parametros!$B$18*1.25,"AJUSTADA","SANA")))</f>
        <v/>
      </c>
    </row>
    <row r="260">
      <c r="A260" s="19" t="n"/>
      <c r="B260" s="19" t="n"/>
      <c r="C260" s="19" t="n"/>
      <c r="D260" s="19" t="n"/>
      <c r="E260" s="20" t="n"/>
      <c r="F260" s="17" t="n"/>
      <c r="G260" s="19" t="n"/>
      <c r="H260" s="19" t="n"/>
      <c r="I260" s="19" t="n"/>
      <c r="J260" s="25">
        <f>IF(A260="","",SUMIFS(Horas!$D$2:$D$301,Horas!$B$2:$B$301,A260,Horas!$E$2:$E$301,Parametros!$B$1))</f>
        <v/>
      </c>
      <c r="K260" s="24">
        <f>IF(OR(A260="",G260&lt;&gt;"Activo"),"",IF(N(J260)=0,"Sin horas",E260/J260))</f>
        <v/>
      </c>
      <c r="L260" s="26">
        <f>IF(OR(A260="",G260&lt;&gt;"Activo"),"",IFERROR(E260/Tablero!$B$6,0))</f>
        <v/>
      </c>
      <c r="M260">
        <f>IF(NOT(ISNUMBER(K260)),"",IF(K260&lt;Parametros!$B$18,"BAJA",IF(K260&lt;Parametros!$B$18*1.25,"AJUSTADA","SANA")))</f>
        <v/>
      </c>
    </row>
    <row r="261">
      <c r="A261" s="19" t="n"/>
      <c r="B261" s="19" t="n"/>
      <c r="C261" s="19" t="n"/>
      <c r="D261" s="19" t="n"/>
      <c r="E261" s="20" t="n"/>
      <c r="F261" s="17" t="n"/>
      <c r="G261" s="19" t="n"/>
      <c r="H261" s="19" t="n"/>
      <c r="I261" s="19" t="n"/>
      <c r="J261" s="25">
        <f>IF(A261="","",SUMIFS(Horas!$D$2:$D$301,Horas!$B$2:$B$301,A261,Horas!$E$2:$E$301,Parametros!$B$1))</f>
        <v/>
      </c>
      <c r="K261" s="24">
        <f>IF(OR(A261="",G261&lt;&gt;"Activo"),"",IF(N(J261)=0,"Sin horas",E261/J261))</f>
        <v/>
      </c>
      <c r="L261" s="26">
        <f>IF(OR(A261="",G261&lt;&gt;"Activo"),"",IFERROR(E261/Tablero!$B$6,0))</f>
        <v/>
      </c>
      <c r="M261">
        <f>IF(NOT(ISNUMBER(K261)),"",IF(K261&lt;Parametros!$B$18,"BAJA",IF(K261&lt;Parametros!$B$18*1.25,"AJUSTADA","SANA")))</f>
        <v/>
      </c>
    </row>
    <row r="262">
      <c r="A262" s="19" t="n"/>
      <c r="B262" s="19" t="n"/>
      <c r="C262" s="19" t="n"/>
      <c r="D262" s="19" t="n"/>
      <c r="E262" s="20" t="n"/>
      <c r="F262" s="17" t="n"/>
      <c r="G262" s="19" t="n"/>
      <c r="H262" s="19" t="n"/>
      <c r="I262" s="19" t="n"/>
      <c r="J262" s="25">
        <f>IF(A262="","",SUMIFS(Horas!$D$2:$D$301,Horas!$B$2:$B$301,A262,Horas!$E$2:$E$301,Parametros!$B$1))</f>
        <v/>
      </c>
      <c r="K262" s="24">
        <f>IF(OR(A262="",G262&lt;&gt;"Activo"),"",IF(N(J262)=0,"Sin horas",E262/J262))</f>
        <v/>
      </c>
      <c r="L262" s="26">
        <f>IF(OR(A262="",G262&lt;&gt;"Activo"),"",IFERROR(E262/Tablero!$B$6,0))</f>
        <v/>
      </c>
      <c r="M262">
        <f>IF(NOT(ISNUMBER(K262)),"",IF(K262&lt;Parametros!$B$18,"BAJA",IF(K262&lt;Parametros!$B$18*1.25,"AJUSTADA","SANA")))</f>
        <v/>
      </c>
    </row>
    <row r="263">
      <c r="A263" s="19" t="n"/>
      <c r="B263" s="19" t="n"/>
      <c r="C263" s="19" t="n"/>
      <c r="D263" s="19" t="n"/>
      <c r="E263" s="20" t="n"/>
      <c r="F263" s="17" t="n"/>
      <c r="G263" s="19" t="n"/>
      <c r="H263" s="19" t="n"/>
      <c r="I263" s="19" t="n"/>
      <c r="J263" s="25">
        <f>IF(A263="","",SUMIFS(Horas!$D$2:$D$301,Horas!$B$2:$B$301,A263,Horas!$E$2:$E$301,Parametros!$B$1))</f>
        <v/>
      </c>
      <c r="K263" s="24">
        <f>IF(OR(A263="",G263&lt;&gt;"Activo"),"",IF(N(J263)=0,"Sin horas",E263/J263))</f>
        <v/>
      </c>
      <c r="L263" s="26">
        <f>IF(OR(A263="",G263&lt;&gt;"Activo"),"",IFERROR(E263/Tablero!$B$6,0))</f>
        <v/>
      </c>
      <c r="M263">
        <f>IF(NOT(ISNUMBER(K263)),"",IF(K263&lt;Parametros!$B$18,"BAJA",IF(K263&lt;Parametros!$B$18*1.25,"AJUSTADA","SANA")))</f>
        <v/>
      </c>
    </row>
    <row r="264">
      <c r="A264" s="19" t="n"/>
      <c r="B264" s="19" t="n"/>
      <c r="C264" s="19" t="n"/>
      <c r="D264" s="19" t="n"/>
      <c r="E264" s="20" t="n"/>
      <c r="F264" s="17" t="n"/>
      <c r="G264" s="19" t="n"/>
      <c r="H264" s="19" t="n"/>
      <c r="I264" s="19" t="n"/>
      <c r="J264" s="25">
        <f>IF(A264="","",SUMIFS(Horas!$D$2:$D$301,Horas!$B$2:$B$301,A264,Horas!$E$2:$E$301,Parametros!$B$1))</f>
        <v/>
      </c>
      <c r="K264" s="24">
        <f>IF(OR(A264="",G264&lt;&gt;"Activo"),"",IF(N(J264)=0,"Sin horas",E264/J264))</f>
        <v/>
      </c>
      <c r="L264" s="26">
        <f>IF(OR(A264="",G264&lt;&gt;"Activo"),"",IFERROR(E264/Tablero!$B$6,0))</f>
        <v/>
      </c>
      <c r="M264">
        <f>IF(NOT(ISNUMBER(K264)),"",IF(K264&lt;Parametros!$B$18,"BAJA",IF(K264&lt;Parametros!$B$18*1.25,"AJUSTADA","SANA")))</f>
        <v/>
      </c>
    </row>
    <row r="265">
      <c r="A265" s="19" t="n"/>
      <c r="B265" s="19" t="n"/>
      <c r="C265" s="19" t="n"/>
      <c r="D265" s="19" t="n"/>
      <c r="E265" s="20" t="n"/>
      <c r="F265" s="17" t="n"/>
      <c r="G265" s="19" t="n"/>
      <c r="H265" s="19" t="n"/>
      <c r="I265" s="19" t="n"/>
      <c r="J265" s="25">
        <f>IF(A265="","",SUMIFS(Horas!$D$2:$D$301,Horas!$B$2:$B$301,A265,Horas!$E$2:$E$301,Parametros!$B$1))</f>
        <v/>
      </c>
      <c r="K265" s="24">
        <f>IF(OR(A265="",G265&lt;&gt;"Activo"),"",IF(N(J265)=0,"Sin horas",E265/J265))</f>
        <v/>
      </c>
      <c r="L265" s="26">
        <f>IF(OR(A265="",G265&lt;&gt;"Activo"),"",IFERROR(E265/Tablero!$B$6,0))</f>
        <v/>
      </c>
      <c r="M265">
        <f>IF(NOT(ISNUMBER(K265)),"",IF(K265&lt;Parametros!$B$18,"BAJA",IF(K265&lt;Parametros!$B$18*1.25,"AJUSTADA","SANA")))</f>
        <v/>
      </c>
    </row>
    <row r="266">
      <c r="A266" s="19" t="n"/>
      <c r="B266" s="19" t="n"/>
      <c r="C266" s="19" t="n"/>
      <c r="D266" s="19" t="n"/>
      <c r="E266" s="20" t="n"/>
      <c r="F266" s="17" t="n"/>
      <c r="G266" s="19" t="n"/>
      <c r="H266" s="19" t="n"/>
      <c r="I266" s="19" t="n"/>
      <c r="J266" s="25">
        <f>IF(A266="","",SUMIFS(Horas!$D$2:$D$301,Horas!$B$2:$B$301,A266,Horas!$E$2:$E$301,Parametros!$B$1))</f>
        <v/>
      </c>
      <c r="K266" s="24">
        <f>IF(OR(A266="",G266&lt;&gt;"Activo"),"",IF(N(J266)=0,"Sin horas",E266/J266))</f>
        <v/>
      </c>
      <c r="L266" s="26">
        <f>IF(OR(A266="",G266&lt;&gt;"Activo"),"",IFERROR(E266/Tablero!$B$6,0))</f>
        <v/>
      </c>
      <c r="M266">
        <f>IF(NOT(ISNUMBER(K266)),"",IF(K266&lt;Parametros!$B$18,"BAJA",IF(K266&lt;Parametros!$B$18*1.25,"AJUSTADA","SANA")))</f>
        <v/>
      </c>
    </row>
    <row r="267">
      <c r="A267" s="19" t="n"/>
      <c r="B267" s="19" t="n"/>
      <c r="C267" s="19" t="n"/>
      <c r="D267" s="19" t="n"/>
      <c r="E267" s="20" t="n"/>
      <c r="F267" s="17" t="n"/>
      <c r="G267" s="19" t="n"/>
      <c r="H267" s="19" t="n"/>
      <c r="I267" s="19" t="n"/>
      <c r="J267" s="25">
        <f>IF(A267="","",SUMIFS(Horas!$D$2:$D$301,Horas!$B$2:$B$301,A267,Horas!$E$2:$E$301,Parametros!$B$1))</f>
        <v/>
      </c>
      <c r="K267" s="24">
        <f>IF(OR(A267="",G267&lt;&gt;"Activo"),"",IF(N(J267)=0,"Sin horas",E267/J267))</f>
        <v/>
      </c>
      <c r="L267" s="26">
        <f>IF(OR(A267="",G267&lt;&gt;"Activo"),"",IFERROR(E267/Tablero!$B$6,0))</f>
        <v/>
      </c>
      <c r="M267">
        <f>IF(NOT(ISNUMBER(K267)),"",IF(K267&lt;Parametros!$B$18,"BAJA",IF(K267&lt;Parametros!$B$18*1.25,"AJUSTADA","SANA")))</f>
        <v/>
      </c>
    </row>
    <row r="268">
      <c r="A268" s="19" t="n"/>
      <c r="B268" s="19" t="n"/>
      <c r="C268" s="19" t="n"/>
      <c r="D268" s="19" t="n"/>
      <c r="E268" s="20" t="n"/>
      <c r="F268" s="17" t="n"/>
      <c r="G268" s="19" t="n"/>
      <c r="H268" s="19" t="n"/>
      <c r="I268" s="19" t="n"/>
      <c r="J268" s="25">
        <f>IF(A268="","",SUMIFS(Horas!$D$2:$D$301,Horas!$B$2:$B$301,A268,Horas!$E$2:$E$301,Parametros!$B$1))</f>
        <v/>
      </c>
      <c r="K268" s="24">
        <f>IF(OR(A268="",G268&lt;&gt;"Activo"),"",IF(N(J268)=0,"Sin horas",E268/J268))</f>
        <v/>
      </c>
      <c r="L268" s="26">
        <f>IF(OR(A268="",G268&lt;&gt;"Activo"),"",IFERROR(E268/Tablero!$B$6,0))</f>
        <v/>
      </c>
      <c r="M268">
        <f>IF(NOT(ISNUMBER(K268)),"",IF(K268&lt;Parametros!$B$18,"BAJA",IF(K268&lt;Parametros!$B$18*1.25,"AJUSTADA","SANA")))</f>
        <v/>
      </c>
    </row>
    <row r="269">
      <c r="A269" s="19" t="n"/>
      <c r="B269" s="19" t="n"/>
      <c r="C269" s="19" t="n"/>
      <c r="D269" s="19" t="n"/>
      <c r="E269" s="20" t="n"/>
      <c r="F269" s="17" t="n"/>
      <c r="G269" s="19" t="n"/>
      <c r="H269" s="19" t="n"/>
      <c r="I269" s="19" t="n"/>
      <c r="J269" s="25">
        <f>IF(A269="","",SUMIFS(Horas!$D$2:$D$301,Horas!$B$2:$B$301,A269,Horas!$E$2:$E$301,Parametros!$B$1))</f>
        <v/>
      </c>
      <c r="K269" s="24">
        <f>IF(OR(A269="",G269&lt;&gt;"Activo"),"",IF(N(J269)=0,"Sin horas",E269/J269))</f>
        <v/>
      </c>
      <c r="L269" s="26">
        <f>IF(OR(A269="",G269&lt;&gt;"Activo"),"",IFERROR(E269/Tablero!$B$6,0))</f>
        <v/>
      </c>
      <c r="M269">
        <f>IF(NOT(ISNUMBER(K269)),"",IF(K269&lt;Parametros!$B$18,"BAJA",IF(K269&lt;Parametros!$B$18*1.25,"AJUSTADA","SANA")))</f>
        <v/>
      </c>
    </row>
    <row r="270">
      <c r="A270" s="19" t="n"/>
      <c r="B270" s="19" t="n"/>
      <c r="C270" s="19" t="n"/>
      <c r="D270" s="19" t="n"/>
      <c r="E270" s="20" t="n"/>
      <c r="F270" s="17" t="n"/>
      <c r="G270" s="19" t="n"/>
      <c r="H270" s="19" t="n"/>
      <c r="I270" s="19" t="n"/>
      <c r="J270" s="25">
        <f>IF(A270="","",SUMIFS(Horas!$D$2:$D$301,Horas!$B$2:$B$301,A270,Horas!$E$2:$E$301,Parametros!$B$1))</f>
        <v/>
      </c>
      <c r="K270" s="24">
        <f>IF(OR(A270="",G270&lt;&gt;"Activo"),"",IF(N(J270)=0,"Sin horas",E270/J270))</f>
        <v/>
      </c>
      <c r="L270" s="26">
        <f>IF(OR(A270="",G270&lt;&gt;"Activo"),"",IFERROR(E270/Tablero!$B$6,0))</f>
        <v/>
      </c>
      <c r="M270">
        <f>IF(NOT(ISNUMBER(K270)),"",IF(K270&lt;Parametros!$B$18,"BAJA",IF(K270&lt;Parametros!$B$18*1.25,"AJUSTADA","SANA")))</f>
        <v/>
      </c>
    </row>
    <row r="271">
      <c r="A271" s="19" t="n"/>
      <c r="B271" s="19" t="n"/>
      <c r="C271" s="19" t="n"/>
      <c r="D271" s="19" t="n"/>
      <c r="E271" s="20" t="n"/>
      <c r="F271" s="17" t="n"/>
      <c r="G271" s="19" t="n"/>
      <c r="H271" s="19" t="n"/>
      <c r="I271" s="19" t="n"/>
      <c r="J271" s="25">
        <f>IF(A271="","",SUMIFS(Horas!$D$2:$D$301,Horas!$B$2:$B$301,A271,Horas!$E$2:$E$301,Parametros!$B$1))</f>
        <v/>
      </c>
      <c r="K271" s="24">
        <f>IF(OR(A271="",G271&lt;&gt;"Activo"),"",IF(N(J271)=0,"Sin horas",E271/J271))</f>
        <v/>
      </c>
      <c r="L271" s="26">
        <f>IF(OR(A271="",G271&lt;&gt;"Activo"),"",IFERROR(E271/Tablero!$B$6,0))</f>
        <v/>
      </c>
      <c r="M271">
        <f>IF(NOT(ISNUMBER(K271)),"",IF(K271&lt;Parametros!$B$18,"BAJA",IF(K271&lt;Parametros!$B$18*1.25,"AJUSTADA","SANA")))</f>
        <v/>
      </c>
    </row>
    <row r="272">
      <c r="A272" s="19" t="n"/>
      <c r="B272" s="19" t="n"/>
      <c r="C272" s="19" t="n"/>
      <c r="D272" s="19" t="n"/>
      <c r="E272" s="20" t="n"/>
      <c r="F272" s="17" t="n"/>
      <c r="G272" s="19" t="n"/>
      <c r="H272" s="19" t="n"/>
      <c r="I272" s="19" t="n"/>
      <c r="J272" s="25">
        <f>IF(A272="","",SUMIFS(Horas!$D$2:$D$301,Horas!$B$2:$B$301,A272,Horas!$E$2:$E$301,Parametros!$B$1))</f>
        <v/>
      </c>
      <c r="K272" s="24">
        <f>IF(OR(A272="",G272&lt;&gt;"Activo"),"",IF(N(J272)=0,"Sin horas",E272/J272))</f>
        <v/>
      </c>
      <c r="L272" s="26">
        <f>IF(OR(A272="",G272&lt;&gt;"Activo"),"",IFERROR(E272/Tablero!$B$6,0))</f>
        <v/>
      </c>
      <c r="M272">
        <f>IF(NOT(ISNUMBER(K272)),"",IF(K272&lt;Parametros!$B$18,"BAJA",IF(K272&lt;Parametros!$B$18*1.25,"AJUSTADA","SANA")))</f>
        <v/>
      </c>
    </row>
    <row r="273">
      <c r="A273" s="19" t="n"/>
      <c r="B273" s="19" t="n"/>
      <c r="C273" s="19" t="n"/>
      <c r="D273" s="19" t="n"/>
      <c r="E273" s="20" t="n"/>
      <c r="F273" s="17" t="n"/>
      <c r="G273" s="19" t="n"/>
      <c r="H273" s="19" t="n"/>
      <c r="I273" s="19" t="n"/>
      <c r="J273" s="25">
        <f>IF(A273="","",SUMIFS(Horas!$D$2:$D$301,Horas!$B$2:$B$301,A273,Horas!$E$2:$E$301,Parametros!$B$1))</f>
        <v/>
      </c>
      <c r="K273" s="24">
        <f>IF(OR(A273="",G273&lt;&gt;"Activo"),"",IF(N(J273)=0,"Sin horas",E273/J273))</f>
        <v/>
      </c>
      <c r="L273" s="26">
        <f>IF(OR(A273="",G273&lt;&gt;"Activo"),"",IFERROR(E273/Tablero!$B$6,0))</f>
        <v/>
      </c>
      <c r="M273">
        <f>IF(NOT(ISNUMBER(K273)),"",IF(K273&lt;Parametros!$B$18,"BAJA",IF(K273&lt;Parametros!$B$18*1.25,"AJUSTADA","SANA")))</f>
        <v/>
      </c>
    </row>
    <row r="274">
      <c r="A274" s="19" t="n"/>
      <c r="B274" s="19" t="n"/>
      <c r="C274" s="19" t="n"/>
      <c r="D274" s="19" t="n"/>
      <c r="E274" s="20" t="n"/>
      <c r="F274" s="17" t="n"/>
      <c r="G274" s="19" t="n"/>
      <c r="H274" s="19" t="n"/>
      <c r="I274" s="19" t="n"/>
      <c r="J274" s="25">
        <f>IF(A274="","",SUMIFS(Horas!$D$2:$D$301,Horas!$B$2:$B$301,A274,Horas!$E$2:$E$301,Parametros!$B$1))</f>
        <v/>
      </c>
      <c r="K274" s="24">
        <f>IF(OR(A274="",G274&lt;&gt;"Activo"),"",IF(N(J274)=0,"Sin horas",E274/J274))</f>
        <v/>
      </c>
      <c r="L274" s="26">
        <f>IF(OR(A274="",G274&lt;&gt;"Activo"),"",IFERROR(E274/Tablero!$B$6,0))</f>
        <v/>
      </c>
      <c r="M274">
        <f>IF(NOT(ISNUMBER(K274)),"",IF(K274&lt;Parametros!$B$18,"BAJA",IF(K274&lt;Parametros!$B$18*1.25,"AJUSTADA","SANA")))</f>
        <v/>
      </c>
    </row>
    <row r="275">
      <c r="A275" s="19" t="n"/>
      <c r="B275" s="19" t="n"/>
      <c r="C275" s="19" t="n"/>
      <c r="D275" s="19" t="n"/>
      <c r="E275" s="20" t="n"/>
      <c r="F275" s="17" t="n"/>
      <c r="G275" s="19" t="n"/>
      <c r="H275" s="19" t="n"/>
      <c r="I275" s="19" t="n"/>
      <c r="J275" s="25">
        <f>IF(A275="","",SUMIFS(Horas!$D$2:$D$301,Horas!$B$2:$B$301,A275,Horas!$E$2:$E$301,Parametros!$B$1))</f>
        <v/>
      </c>
      <c r="K275" s="24">
        <f>IF(OR(A275="",G275&lt;&gt;"Activo"),"",IF(N(J275)=0,"Sin horas",E275/J275))</f>
        <v/>
      </c>
      <c r="L275" s="26">
        <f>IF(OR(A275="",G275&lt;&gt;"Activo"),"",IFERROR(E275/Tablero!$B$6,0))</f>
        <v/>
      </c>
      <c r="M275">
        <f>IF(NOT(ISNUMBER(K275)),"",IF(K275&lt;Parametros!$B$18,"BAJA",IF(K275&lt;Parametros!$B$18*1.25,"AJUSTADA","SANA")))</f>
        <v/>
      </c>
    </row>
    <row r="276">
      <c r="A276" s="19" t="n"/>
      <c r="B276" s="19" t="n"/>
      <c r="C276" s="19" t="n"/>
      <c r="D276" s="19" t="n"/>
      <c r="E276" s="20" t="n"/>
      <c r="F276" s="17" t="n"/>
      <c r="G276" s="19" t="n"/>
      <c r="H276" s="19" t="n"/>
      <c r="I276" s="19" t="n"/>
      <c r="J276" s="25">
        <f>IF(A276="","",SUMIFS(Horas!$D$2:$D$301,Horas!$B$2:$B$301,A276,Horas!$E$2:$E$301,Parametros!$B$1))</f>
        <v/>
      </c>
      <c r="K276" s="24">
        <f>IF(OR(A276="",G276&lt;&gt;"Activo"),"",IF(N(J276)=0,"Sin horas",E276/J276))</f>
        <v/>
      </c>
      <c r="L276" s="26">
        <f>IF(OR(A276="",G276&lt;&gt;"Activo"),"",IFERROR(E276/Tablero!$B$6,0))</f>
        <v/>
      </c>
      <c r="M276">
        <f>IF(NOT(ISNUMBER(K276)),"",IF(K276&lt;Parametros!$B$18,"BAJA",IF(K276&lt;Parametros!$B$18*1.25,"AJUSTADA","SANA")))</f>
        <v/>
      </c>
    </row>
    <row r="277">
      <c r="A277" s="19" t="n"/>
      <c r="B277" s="19" t="n"/>
      <c r="C277" s="19" t="n"/>
      <c r="D277" s="19" t="n"/>
      <c r="E277" s="20" t="n"/>
      <c r="F277" s="17" t="n"/>
      <c r="G277" s="19" t="n"/>
      <c r="H277" s="19" t="n"/>
      <c r="I277" s="19" t="n"/>
      <c r="J277" s="25">
        <f>IF(A277="","",SUMIFS(Horas!$D$2:$D$301,Horas!$B$2:$B$301,A277,Horas!$E$2:$E$301,Parametros!$B$1))</f>
        <v/>
      </c>
      <c r="K277" s="24">
        <f>IF(OR(A277="",G277&lt;&gt;"Activo"),"",IF(N(J277)=0,"Sin horas",E277/J277))</f>
        <v/>
      </c>
      <c r="L277" s="26">
        <f>IF(OR(A277="",G277&lt;&gt;"Activo"),"",IFERROR(E277/Tablero!$B$6,0))</f>
        <v/>
      </c>
      <c r="M277">
        <f>IF(NOT(ISNUMBER(K277)),"",IF(K277&lt;Parametros!$B$18,"BAJA",IF(K277&lt;Parametros!$B$18*1.25,"AJUSTADA","SANA")))</f>
        <v/>
      </c>
    </row>
    <row r="278">
      <c r="A278" s="19" t="n"/>
      <c r="B278" s="19" t="n"/>
      <c r="C278" s="19" t="n"/>
      <c r="D278" s="19" t="n"/>
      <c r="E278" s="20" t="n"/>
      <c r="F278" s="17" t="n"/>
      <c r="G278" s="19" t="n"/>
      <c r="H278" s="19" t="n"/>
      <c r="I278" s="19" t="n"/>
      <c r="J278" s="25">
        <f>IF(A278="","",SUMIFS(Horas!$D$2:$D$301,Horas!$B$2:$B$301,A278,Horas!$E$2:$E$301,Parametros!$B$1))</f>
        <v/>
      </c>
      <c r="K278" s="24">
        <f>IF(OR(A278="",G278&lt;&gt;"Activo"),"",IF(N(J278)=0,"Sin horas",E278/J278))</f>
        <v/>
      </c>
      <c r="L278" s="26">
        <f>IF(OR(A278="",G278&lt;&gt;"Activo"),"",IFERROR(E278/Tablero!$B$6,0))</f>
        <v/>
      </c>
      <c r="M278">
        <f>IF(NOT(ISNUMBER(K278)),"",IF(K278&lt;Parametros!$B$18,"BAJA",IF(K278&lt;Parametros!$B$18*1.25,"AJUSTADA","SANA")))</f>
        <v/>
      </c>
    </row>
    <row r="279">
      <c r="A279" s="19" t="n"/>
      <c r="B279" s="19" t="n"/>
      <c r="C279" s="19" t="n"/>
      <c r="D279" s="19" t="n"/>
      <c r="E279" s="20" t="n"/>
      <c r="F279" s="17" t="n"/>
      <c r="G279" s="19" t="n"/>
      <c r="H279" s="19" t="n"/>
      <c r="I279" s="19" t="n"/>
      <c r="J279" s="25">
        <f>IF(A279="","",SUMIFS(Horas!$D$2:$D$301,Horas!$B$2:$B$301,A279,Horas!$E$2:$E$301,Parametros!$B$1))</f>
        <v/>
      </c>
      <c r="K279" s="24">
        <f>IF(OR(A279="",G279&lt;&gt;"Activo"),"",IF(N(J279)=0,"Sin horas",E279/J279))</f>
        <v/>
      </c>
      <c r="L279" s="26">
        <f>IF(OR(A279="",G279&lt;&gt;"Activo"),"",IFERROR(E279/Tablero!$B$6,0))</f>
        <v/>
      </c>
      <c r="M279">
        <f>IF(NOT(ISNUMBER(K279)),"",IF(K279&lt;Parametros!$B$18,"BAJA",IF(K279&lt;Parametros!$B$18*1.25,"AJUSTADA","SANA")))</f>
        <v/>
      </c>
    </row>
    <row r="280">
      <c r="A280" s="19" t="n"/>
      <c r="B280" s="19" t="n"/>
      <c r="C280" s="19" t="n"/>
      <c r="D280" s="19" t="n"/>
      <c r="E280" s="20" t="n"/>
      <c r="F280" s="17" t="n"/>
      <c r="G280" s="19" t="n"/>
      <c r="H280" s="19" t="n"/>
      <c r="I280" s="19" t="n"/>
      <c r="J280" s="25">
        <f>IF(A280="","",SUMIFS(Horas!$D$2:$D$301,Horas!$B$2:$B$301,A280,Horas!$E$2:$E$301,Parametros!$B$1))</f>
        <v/>
      </c>
      <c r="K280" s="24">
        <f>IF(OR(A280="",G280&lt;&gt;"Activo"),"",IF(N(J280)=0,"Sin horas",E280/J280))</f>
        <v/>
      </c>
      <c r="L280" s="26">
        <f>IF(OR(A280="",G280&lt;&gt;"Activo"),"",IFERROR(E280/Tablero!$B$6,0))</f>
        <v/>
      </c>
      <c r="M280">
        <f>IF(NOT(ISNUMBER(K280)),"",IF(K280&lt;Parametros!$B$18,"BAJA",IF(K280&lt;Parametros!$B$18*1.25,"AJUSTADA","SANA")))</f>
        <v/>
      </c>
    </row>
    <row r="281">
      <c r="A281" s="19" t="n"/>
      <c r="B281" s="19" t="n"/>
      <c r="C281" s="19" t="n"/>
      <c r="D281" s="19" t="n"/>
      <c r="E281" s="20" t="n"/>
      <c r="F281" s="17" t="n"/>
      <c r="G281" s="19" t="n"/>
      <c r="H281" s="19" t="n"/>
      <c r="I281" s="19" t="n"/>
      <c r="J281" s="25">
        <f>IF(A281="","",SUMIFS(Horas!$D$2:$D$301,Horas!$B$2:$B$301,A281,Horas!$E$2:$E$301,Parametros!$B$1))</f>
        <v/>
      </c>
      <c r="K281" s="24">
        <f>IF(OR(A281="",G281&lt;&gt;"Activo"),"",IF(N(J281)=0,"Sin horas",E281/J281))</f>
        <v/>
      </c>
      <c r="L281" s="26">
        <f>IF(OR(A281="",G281&lt;&gt;"Activo"),"",IFERROR(E281/Tablero!$B$6,0))</f>
        <v/>
      </c>
      <c r="M281">
        <f>IF(NOT(ISNUMBER(K281)),"",IF(K281&lt;Parametros!$B$18,"BAJA",IF(K281&lt;Parametros!$B$18*1.25,"AJUSTADA","SANA")))</f>
        <v/>
      </c>
    </row>
    <row r="282">
      <c r="A282" s="19" t="n"/>
      <c r="B282" s="19" t="n"/>
      <c r="C282" s="19" t="n"/>
      <c r="D282" s="19" t="n"/>
      <c r="E282" s="20" t="n"/>
      <c r="F282" s="17" t="n"/>
      <c r="G282" s="19" t="n"/>
      <c r="H282" s="19" t="n"/>
      <c r="I282" s="19" t="n"/>
      <c r="J282" s="25">
        <f>IF(A282="","",SUMIFS(Horas!$D$2:$D$301,Horas!$B$2:$B$301,A282,Horas!$E$2:$E$301,Parametros!$B$1))</f>
        <v/>
      </c>
      <c r="K282" s="24">
        <f>IF(OR(A282="",G282&lt;&gt;"Activo"),"",IF(N(J282)=0,"Sin horas",E282/J282))</f>
        <v/>
      </c>
      <c r="L282" s="26">
        <f>IF(OR(A282="",G282&lt;&gt;"Activo"),"",IFERROR(E282/Tablero!$B$6,0))</f>
        <v/>
      </c>
      <c r="M282">
        <f>IF(NOT(ISNUMBER(K282)),"",IF(K282&lt;Parametros!$B$18,"BAJA",IF(K282&lt;Parametros!$B$18*1.25,"AJUSTADA","SANA")))</f>
        <v/>
      </c>
    </row>
    <row r="283">
      <c r="A283" s="19" t="n"/>
      <c r="B283" s="19" t="n"/>
      <c r="C283" s="19" t="n"/>
      <c r="D283" s="19" t="n"/>
      <c r="E283" s="20" t="n"/>
      <c r="F283" s="17" t="n"/>
      <c r="G283" s="19" t="n"/>
      <c r="H283" s="19" t="n"/>
      <c r="I283" s="19" t="n"/>
      <c r="J283" s="25">
        <f>IF(A283="","",SUMIFS(Horas!$D$2:$D$301,Horas!$B$2:$B$301,A283,Horas!$E$2:$E$301,Parametros!$B$1))</f>
        <v/>
      </c>
      <c r="K283" s="24">
        <f>IF(OR(A283="",G283&lt;&gt;"Activo"),"",IF(N(J283)=0,"Sin horas",E283/J283))</f>
        <v/>
      </c>
      <c r="L283" s="26">
        <f>IF(OR(A283="",G283&lt;&gt;"Activo"),"",IFERROR(E283/Tablero!$B$6,0))</f>
        <v/>
      </c>
      <c r="M283">
        <f>IF(NOT(ISNUMBER(K283)),"",IF(K283&lt;Parametros!$B$18,"BAJA",IF(K283&lt;Parametros!$B$18*1.25,"AJUSTADA","SANA")))</f>
        <v/>
      </c>
    </row>
    <row r="284">
      <c r="A284" s="19" t="n"/>
      <c r="B284" s="19" t="n"/>
      <c r="C284" s="19" t="n"/>
      <c r="D284" s="19" t="n"/>
      <c r="E284" s="20" t="n"/>
      <c r="F284" s="17" t="n"/>
      <c r="G284" s="19" t="n"/>
      <c r="H284" s="19" t="n"/>
      <c r="I284" s="19" t="n"/>
      <c r="J284" s="25">
        <f>IF(A284="","",SUMIFS(Horas!$D$2:$D$301,Horas!$B$2:$B$301,A284,Horas!$E$2:$E$301,Parametros!$B$1))</f>
        <v/>
      </c>
      <c r="K284" s="24">
        <f>IF(OR(A284="",G284&lt;&gt;"Activo"),"",IF(N(J284)=0,"Sin horas",E284/J284))</f>
        <v/>
      </c>
      <c r="L284" s="26">
        <f>IF(OR(A284="",G284&lt;&gt;"Activo"),"",IFERROR(E284/Tablero!$B$6,0))</f>
        <v/>
      </c>
      <c r="M284">
        <f>IF(NOT(ISNUMBER(K284)),"",IF(K284&lt;Parametros!$B$18,"BAJA",IF(K284&lt;Parametros!$B$18*1.25,"AJUSTADA","SANA")))</f>
        <v/>
      </c>
    </row>
    <row r="285">
      <c r="A285" s="19" t="n"/>
      <c r="B285" s="19" t="n"/>
      <c r="C285" s="19" t="n"/>
      <c r="D285" s="19" t="n"/>
      <c r="E285" s="20" t="n"/>
      <c r="F285" s="17" t="n"/>
      <c r="G285" s="19" t="n"/>
      <c r="H285" s="19" t="n"/>
      <c r="I285" s="19" t="n"/>
      <c r="J285" s="25">
        <f>IF(A285="","",SUMIFS(Horas!$D$2:$D$301,Horas!$B$2:$B$301,A285,Horas!$E$2:$E$301,Parametros!$B$1))</f>
        <v/>
      </c>
      <c r="K285" s="24">
        <f>IF(OR(A285="",G285&lt;&gt;"Activo"),"",IF(N(J285)=0,"Sin horas",E285/J285))</f>
        <v/>
      </c>
      <c r="L285" s="26">
        <f>IF(OR(A285="",G285&lt;&gt;"Activo"),"",IFERROR(E285/Tablero!$B$6,0))</f>
        <v/>
      </c>
      <c r="M285">
        <f>IF(NOT(ISNUMBER(K285)),"",IF(K285&lt;Parametros!$B$18,"BAJA",IF(K285&lt;Parametros!$B$18*1.25,"AJUSTADA","SANA")))</f>
        <v/>
      </c>
    </row>
    <row r="286">
      <c r="A286" s="19" t="n"/>
      <c r="B286" s="19" t="n"/>
      <c r="C286" s="19" t="n"/>
      <c r="D286" s="19" t="n"/>
      <c r="E286" s="20" t="n"/>
      <c r="F286" s="17" t="n"/>
      <c r="G286" s="19" t="n"/>
      <c r="H286" s="19" t="n"/>
      <c r="I286" s="19" t="n"/>
      <c r="J286" s="25">
        <f>IF(A286="","",SUMIFS(Horas!$D$2:$D$301,Horas!$B$2:$B$301,A286,Horas!$E$2:$E$301,Parametros!$B$1))</f>
        <v/>
      </c>
      <c r="K286" s="24">
        <f>IF(OR(A286="",G286&lt;&gt;"Activo"),"",IF(N(J286)=0,"Sin horas",E286/J286))</f>
        <v/>
      </c>
      <c r="L286" s="26">
        <f>IF(OR(A286="",G286&lt;&gt;"Activo"),"",IFERROR(E286/Tablero!$B$6,0))</f>
        <v/>
      </c>
      <c r="M286">
        <f>IF(NOT(ISNUMBER(K286)),"",IF(K286&lt;Parametros!$B$18,"BAJA",IF(K286&lt;Parametros!$B$18*1.25,"AJUSTADA","SANA")))</f>
        <v/>
      </c>
    </row>
    <row r="287">
      <c r="A287" s="19" t="n"/>
      <c r="B287" s="19" t="n"/>
      <c r="C287" s="19" t="n"/>
      <c r="D287" s="19" t="n"/>
      <c r="E287" s="20" t="n"/>
      <c r="F287" s="17" t="n"/>
      <c r="G287" s="19" t="n"/>
      <c r="H287" s="19" t="n"/>
      <c r="I287" s="19" t="n"/>
      <c r="J287" s="25">
        <f>IF(A287="","",SUMIFS(Horas!$D$2:$D$301,Horas!$B$2:$B$301,A287,Horas!$E$2:$E$301,Parametros!$B$1))</f>
        <v/>
      </c>
      <c r="K287" s="24">
        <f>IF(OR(A287="",G287&lt;&gt;"Activo"),"",IF(N(J287)=0,"Sin horas",E287/J287))</f>
        <v/>
      </c>
      <c r="L287" s="26">
        <f>IF(OR(A287="",G287&lt;&gt;"Activo"),"",IFERROR(E287/Tablero!$B$6,0))</f>
        <v/>
      </c>
      <c r="M287">
        <f>IF(NOT(ISNUMBER(K287)),"",IF(K287&lt;Parametros!$B$18,"BAJA",IF(K287&lt;Parametros!$B$18*1.25,"AJUSTADA","SANA")))</f>
        <v/>
      </c>
    </row>
    <row r="288">
      <c r="A288" s="19" t="n"/>
      <c r="B288" s="19" t="n"/>
      <c r="C288" s="19" t="n"/>
      <c r="D288" s="19" t="n"/>
      <c r="E288" s="20" t="n"/>
      <c r="F288" s="17" t="n"/>
      <c r="G288" s="19" t="n"/>
      <c r="H288" s="19" t="n"/>
      <c r="I288" s="19" t="n"/>
      <c r="J288" s="25">
        <f>IF(A288="","",SUMIFS(Horas!$D$2:$D$301,Horas!$B$2:$B$301,A288,Horas!$E$2:$E$301,Parametros!$B$1))</f>
        <v/>
      </c>
      <c r="K288" s="24">
        <f>IF(OR(A288="",G288&lt;&gt;"Activo"),"",IF(N(J288)=0,"Sin horas",E288/J288))</f>
        <v/>
      </c>
      <c r="L288" s="26">
        <f>IF(OR(A288="",G288&lt;&gt;"Activo"),"",IFERROR(E288/Tablero!$B$6,0))</f>
        <v/>
      </c>
      <c r="M288">
        <f>IF(NOT(ISNUMBER(K288)),"",IF(K288&lt;Parametros!$B$18,"BAJA",IF(K288&lt;Parametros!$B$18*1.25,"AJUSTADA","SANA")))</f>
        <v/>
      </c>
    </row>
    <row r="289">
      <c r="A289" s="19" t="n"/>
      <c r="B289" s="19" t="n"/>
      <c r="C289" s="19" t="n"/>
      <c r="D289" s="19" t="n"/>
      <c r="E289" s="20" t="n"/>
      <c r="F289" s="17" t="n"/>
      <c r="G289" s="19" t="n"/>
      <c r="H289" s="19" t="n"/>
      <c r="I289" s="19" t="n"/>
      <c r="J289" s="25">
        <f>IF(A289="","",SUMIFS(Horas!$D$2:$D$301,Horas!$B$2:$B$301,A289,Horas!$E$2:$E$301,Parametros!$B$1))</f>
        <v/>
      </c>
      <c r="K289" s="24">
        <f>IF(OR(A289="",G289&lt;&gt;"Activo"),"",IF(N(J289)=0,"Sin horas",E289/J289))</f>
        <v/>
      </c>
      <c r="L289" s="26">
        <f>IF(OR(A289="",G289&lt;&gt;"Activo"),"",IFERROR(E289/Tablero!$B$6,0))</f>
        <v/>
      </c>
      <c r="M289">
        <f>IF(NOT(ISNUMBER(K289)),"",IF(K289&lt;Parametros!$B$18,"BAJA",IF(K289&lt;Parametros!$B$18*1.25,"AJUSTADA","SANA")))</f>
        <v/>
      </c>
    </row>
    <row r="290">
      <c r="A290" s="19" t="n"/>
      <c r="B290" s="19" t="n"/>
      <c r="C290" s="19" t="n"/>
      <c r="D290" s="19" t="n"/>
      <c r="E290" s="20" t="n"/>
      <c r="F290" s="17" t="n"/>
      <c r="G290" s="19" t="n"/>
      <c r="H290" s="19" t="n"/>
      <c r="I290" s="19" t="n"/>
      <c r="J290" s="25">
        <f>IF(A290="","",SUMIFS(Horas!$D$2:$D$301,Horas!$B$2:$B$301,A290,Horas!$E$2:$E$301,Parametros!$B$1))</f>
        <v/>
      </c>
      <c r="K290" s="24">
        <f>IF(OR(A290="",G290&lt;&gt;"Activo"),"",IF(N(J290)=0,"Sin horas",E290/J290))</f>
        <v/>
      </c>
      <c r="L290" s="26">
        <f>IF(OR(A290="",G290&lt;&gt;"Activo"),"",IFERROR(E290/Tablero!$B$6,0))</f>
        <v/>
      </c>
      <c r="M290">
        <f>IF(NOT(ISNUMBER(K290)),"",IF(K290&lt;Parametros!$B$18,"BAJA",IF(K290&lt;Parametros!$B$18*1.25,"AJUSTADA","SANA")))</f>
        <v/>
      </c>
    </row>
    <row r="291">
      <c r="A291" s="19" t="n"/>
      <c r="B291" s="19" t="n"/>
      <c r="C291" s="19" t="n"/>
      <c r="D291" s="19" t="n"/>
      <c r="E291" s="20" t="n"/>
      <c r="F291" s="17" t="n"/>
      <c r="G291" s="19" t="n"/>
      <c r="H291" s="19" t="n"/>
      <c r="I291" s="19" t="n"/>
      <c r="J291" s="25">
        <f>IF(A291="","",SUMIFS(Horas!$D$2:$D$301,Horas!$B$2:$B$301,A291,Horas!$E$2:$E$301,Parametros!$B$1))</f>
        <v/>
      </c>
      <c r="K291" s="24">
        <f>IF(OR(A291="",G291&lt;&gt;"Activo"),"",IF(N(J291)=0,"Sin horas",E291/J291))</f>
        <v/>
      </c>
      <c r="L291" s="26">
        <f>IF(OR(A291="",G291&lt;&gt;"Activo"),"",IFERROR(E291/Tablero!$B$6,0))</f>
        <v/>
      </c>
      <c r="M291">
        <f>IF(NOT(ISNUMBER(K291)),"",IF(K291&lt;Parametros!$B$18,"BAJA",IF(K291&lt;Parametros!$B$18*1.25,"AJUSTADA","SANA")))</f>
        <v/>
      </c>
    </row>
    <row r="292">
      <c r="A292" s="19" t="n"/>
      <c r="B292" s="19" t="n"/>
      <c r="C292" s="19" t="n"/>
      <c r="D292" s="19" t="n"/>
      <c r="E292" s="20" t="n"/>
      <c r="F292" s="17" t="n"/>
      <c r="G292" s="19" t="n"/>
      <c r="H292" s="19" t="n"/>
      <c r="I292" s="19" t="n"/>
      <c r="J292" s="25">
        <f>IF(A292="","",SUMIFS(Horas!$D$2:$D$301,Horas!$B$2:$B$301,A292,Horas!$E$2:$E$301,Parametros!$B$1))</f>
        <v/>
      </c>
      <c r="K292" s="24">
        <f>IF(OR(A292="",G292&lt;&gt;"Activo"),"",IF(N(J292)=0,"Sin horas",E292/J292))</f>
        <v/>
      </c>
      <c r="L292" s="26">
        <f>IF(OR(A292="",G292&lt;&gt;"Activo"),"",IFERROR(E292/Tablero!$B$6,0))</f>
        <v/>
      </c>
      <c r="M292">
        <f>IF(NOT(ISNUMBER(K292)),"",IF(K292&lt;Parametros!$B$18,"BAJA",IF(K292&lt;Parametros!$B$18*1.25,"AJUSTADA","SANA")))</f>
        <v/>
      </c>
    </row>
    <row r="293">
      <c r="A293" s="19" t="n"/>
      <c r="B293" s="19" t="n"/>
      <c r="C293" s="19" t="n"/>
      <c r="D293" s="19" t="n"/>
      <c r="E293" s="20" t="n"/>
      <c r="F293" s="17" t="n"/>
      <c r="G293" s="19" t="n"/>
      <c r="H293" s="19" t="n"/>
      <c r="I293" s="19" t="n"/>
      <c r="J293" s="25">
        <f>IF(A293="","",SUMIFS(Horas!$D$2:$D$301,Horas!$B$2:$B$301,A293,Horas!$E$2:$E$301,Parametros!$B$1))</f>
        <v/>
      </c>
      <c r="K293" s="24">
        <f>IF(OR(A293="",G293&lt;&gt;"Activo"),"",IF(N(J293)=0,"Sin horas",E293/J293))</f>
        <v/>
      </c>
      <c r="L293" s="26">
        <f>IF(OR(A293="",G293&lt;&gt;"Activo"),"",IFERROR(E293/Tablero!$B$6,0))</f>
        <v/>
      </c>
      <c r="M293">
        <f>IF(NOT(ISNUMBER(K293)),"",IF(K293&lt;Parametros!$B$18,"BAJA",IF(K293&lt;Parametros!$B$18*1.25,"AJUSTADA","SANA")))</f>
        <v/>
      </c>
    </row>
    <row r="294">
      <c r="A294" s="19" t="n"/>
      <c r="B294" s="19" t="n"/>
      <c r="C294" s="19" t="n"/>
      <c r="D294" s="19" t="n"/>
      <c r="E294" s="20" t="n"/>
      <c r="F294" s="17" t="n"/>
      <c r="G294" s="19" t="n"/>
      <c r="H294" s="19" t="n"/>
      <c r="I294" s="19" t="n"/>
      <c r="J294" s="25">
        <f>IF(A294="","",SUMIFS(Horas!$D$2:$D$301,Horas!$B$2:$B$301,A294,Horas!$E$2:$E$301,Parametros!$B$1))</f>
        <v/>
      </c>
      <c r="K294" s="24">
        <f>IF(OR(A294="",G294&lt;&gt;"Activo"),"",IF(N(J294)=0,"Sin horas",E294/J294))</f>
        <v/>
      </c>
      <c r="L294" s="26">
        <f>IF(OR(A294="",G294&lt;&gt;"Activo"),"",IFERROR(E294/Tablero!$B$6,0))</f>
        <v/>
      </c>
      <c r="M294">
        <f>IF(NOT(ISNUMBER(K294)),"",IF(K294&lt;Parametros!$B$18,"BAJA",IF(K294&lt;Parametros!$B$18*1.25,"AJUSTADA","SANA")))</f>
        <v/>
      </c>
    </row>
    <row r="295">
      <c r="A295" s="19" t="n"/>
      <c r="B295" s="19" t="n"/>
      <c r="C295" s="19" t="n"/>
      <c r="D295" s="19" t="n"/>
      <c r="E295" s="20" t="n"/>
      <c r="F295" s="17" t="n"/>
      <c r="G295" s="19" t="n"/>
      <c r="H295" s="19" t="n"/>
      <c r="I295" s="19" t="n"/>
      <c r="J295" s="25">
        <f>IF(A295="","",SUMIFS(Horas!$D$2:$D$301,Horas!$B$2:$B$301,A295,Horas!$E$2:$E$301,Parametros!$B$1))</f>
        <v/>
      </c>
      <c r="K295" s="24">
        <f>IF(OR(A295="",G295&lt;&gt;"Activo"),"",IF(N(J295)=0,"Sin horas",E295/J295))</f>
        <v/>
      </c>
      <c r="L295" s="26">
        <f>IF(OR(A295="",G295&lt;&gt;"Activo"),"",IFERROR(E295/Tablero!$B$6,0))</f>
        <v/>
      </c>
      <c r="M295">
        <f>IF(NOT(ISNUMBER(K295)),"",IF(K295&lt;Parametros!$B$18,"BAJA",IF(K295&lt;Parametros!$B$18*1.25,"AJUSTADA","SANA")))</f>
        <v/>
      </c>
    </row>
    <row r="296">
      <c r="A296" s="19" t="n"/>
      <c r="B296" s="19" t="n"/>
      <c r="C296" s="19" t="n"/>
      <c r="D296" s="19" t="n"/>
      <c r="E296" s="20" t="n"/>
      <c r="F296" s="17" t="n"/>
      <c r="G296" s="19" t="n"/>
      <c r="H296" s="19" t="n"/>
      <c r="I296" s="19" t="n"/>
      <c r="J296" s="25">
        <f>IF(A296="","",SUMIFS(Horas!$D$2:$D$301,Horas!$B$2:$B$301,A296,Horas!$E$2:$E$301,Parametros!$B$1))</f>
        <v/>
      </c>
      <c r="K296" s="24">
        <f>IF(OR(A296="",G296&lt;&gt;"Activo"),"",IF(N(J296)=0,"Sin horas",E296/J296))</f>
        <v/>
      </c>
      <c r="L296" s="26">
        <f>IF(OR(A296="",G296&lt;&gt;"Activo"),"",IFERROR(E296/Tablero!$B$6,0))</f>
        <v/>
      </c>
      <c r="M296">
        <f>IF(NOT(ISNUMBER(K296)),"",IF(K296&lt;Parametros!$B$18,"BAJA",IF(K296&lt;Parametros!$B$18*1.25,"AJUSTADA","SANA")))</f>
        <v/>
      </c>
    </row>
    <row r="297">
      <c r="A297" s="19" t="n"/>
      <c r="B297" s="19" t="n"/>
      <c r="C297" s="19" t="n"/>
      <c r="D297" s="19" t="n"/>
      <c r="E297" s="20" t="n"/>
      <c r="F297" s="17" t="n"/>
      <c r="G297" s="19" t="n"/>
      <c r="H297" s="19" t="n"/>
      <c r="I297" s="19" t="n"/>
      <c r="J297" s="25">
        <f>IF(A297="","",SUMIFS(Horas!$D$2:$D$301,Horas!$B$2:$B$301,A297,Horas!$E$2:$E$301,Parametros!$B$1))</f>
        <v/>
      </c>
      <c r="K297" s="24">
        <f>IF(OR(A297="",G297&lt;&gt;"Activo"),"",IF(N(J297)=0,"Sin horas",E297/J297))</f>
        <v/>
      </c>
      <c r="L297" s="26">
        <f>IF(OR(A297="",G297&lt;&gt;"Activo"),"",IFERROR(E297/Tablero!$B$6,0))</f>
        <v/>
      </c>
      <c r="M297">
        <f>IF(NOT(ISNUMBER(K297)),"",IF(K297&lt;Parametros!$B$18,"BAJA",IF(K297&lt;Parametros!$B$18*1.25,"AJUSTADA","SANA")))</f>
        <v/>
      </c>
    </row>
    <row r="298">
      <c r="A298" s="19" t="n"/>
      <c r="B298" s="19" t="n"/>
      <c r="C298" s="19" t="n"/>
      <c r="D298" s="19" t="n"/>
      <c r="E298" s="20" t="n"/>
      <c r="F298" s="17" t="n"/>
      <c r="G298" s="19" t="n"/>
      <c r="H298" s="19" t="n"/>
      <c r="I298" s="19" t="n"/>
      <c r="J298" s="25">
        <f>IF(A298="","",SUMIFS(Horas!$D$2:$D$301,Horas!$B$2:$B$301,A298,Horas!$E$2:$E$301,Parametros!$B$1))</f>
        <v/>
      </c>
      <c r="K298" s="24">
        <f>IF(OR(A298="",G298&lt;&gt;"Activo"),"",IF(N(J298)=0,"Sin horas",E298/J298))</f>
        <v/>
      </c>
      <c r="L298" s="26">
        <f>IF(OR(A298="",G298&lt;&gt;"Activo"),"",IFERROR(E298/Tablero!$B$6,0))</f>
        <v/>
      </c>
      <c r="M298">
        <f>IF(NOT(ISNUMBER(K298)),"",IF(K298&lt;Parametros!$B$18,"BAJA",IF(K298&lt;Parametros!$B$18*1.25,"AJUSTADA","SANA")))</f>
        <v/>
      </c>
    </row>
    <row r="299">
      <c r="A299" s="19" t="n"/>
      <c r="B299" s="19" t="n"/>
      <c r="C299" s="19" t="n"/>
      <c r="D299" s="19" t="n"/>
      <c r="E299" s="20" t="n"/>
      <c r="F299" s="17" t="n"/>
      <c r="G299" s="19" t="n"/>
      <c r="H299" s="19" t="n"/>
      <c r="I299" s="19" t="n"/>
      <c r="J299" s="25">
        <f>IF(A299="","",SUMIFS(Horas!$D$2:$D$301,Horas!$B$2:$B$301,A299,Horas!$E$2:$E$301,Parametros!$B$1))</f>
        <v/>
      </c>
      <c r="K299" s="24">
        <f>IF(OR(A299="",G299&lt;&gt;"Activo"),"",IF(N(J299)=0,"Sin horas",E299/J299))</f>
        <v/>
      </c>
      <c r="L299" s="26">
        <f>IF(OR(A299="",G299&lt;&gt;"Activo"),"",IFERROR(E299/Tablero!$B$6,0))</f>
        <v/>
      </c>
      <c r="M299">
        <f>IF(NOT(ISNUMBER(K299)),"",IF(K299&lt;Parametros!$B$18,"BAJA",IF(K299&lt;Parametros!$B$18*1.25,"AJUSTADA","SANA")))</f>
        <v/>
      </c>
    </row>
    <row r="300">
      <c r="A300" s="19" t="n"/>
      <c r="B300" s="19" t="n"/>
      <c r="C300" s="19" t="n"/>
      <c r="D300" s="19" t="n"/>
      <c r="E300" s="20" t="n"/>
      <c r="F300" s="17" t="n"/>
      <c r="G300" s="19" t="n"/>
      <c r="H300" s="19" t="n"/>
      <c r="I300" s="19" t="n"/>
      <c r="J300" s="25">
        <f>IF(A300="","",SUMIFS(Horas!$D$2:$D$301,Horas!$B$2:$B$301,A300,Horas!$E$2:$E$301,Parametros!$B$1))</f>
        <v/>
      </c>
      <c r="K300" s="24">
        <f>IF(OR(A300="",G300&lt;&gt;"Activo"),"",IF(N(J300)=0,"Sin horas",E300/J300))</f>
        <v/>
      </c>
      <c r="L300" s="26">
        <f>IF(OR(A300="",G300&lt;&gt;"Activo"),"",IFERROR(E300/Tablero!$B$6,0))</f>
        <v/>
      </c>
      <c r="M300">
        <f>IF(NOT(ISNUMBER(K300)),"",IF(K300&lt;Parametros!$B$18,"BAJA",IF(K300&lt;Parametros!$B$18*1.25,"AJUSTADA","SANA")))</f>
        <v/>
      </c>
    </row>
    <row r="301">
      <c r="A301" s="19" t="n"/>
      <c r="B301" s="19" t="n"/>
      <c r="C301" s="19" t="n"/>
      <c r="D301" s="19" t="n"/>
      <c r="E301" s="20" t="n"/>
      <c r="F301" s="17" t="n"/>
      <c r="G301" s="19" t="n"/>
      <c r="H301" s="19" t="n"/>
      <c r="I301" s="19" t="n"/>
      <c r="J301" s="25">
        <f>IF(A301="","",SUMIFS(Horas!$D$2:$D$301,Horas!$B$2:$B$301,A301,Horas!$E$2:$E$301,Parametros!$B$1))</f>
        <v/>
      </c>
      <c r="K301" s="24">
        <f>IF(OR(A301="",G301&lt;&gt;"Activo"),"",IF(N(J301)=0,"Sin horas",E301/J301))</f>
        <v/>
      </c>
      <c r="L301" s="26">
        <f>IF(OR(A301="",G301&lt;&gt;"Activo"),"",IFERROR(E301/Tablero!$B$6,0))</f>
        <v/>
      </c>
      <c r="M301">
        <f>IF(NOT(ISNUMBER(K301)),"",IF(K301&lt;Parametros!$B$18,"BAJA",IF(K301&lt;Parametros!$B$18*1.25,"AJUSTADA","SANA")))</f>
        <v/>
      </c>
    </row>
  </sheetData>
  <autoFilter ref="A1:M301"/>
  <conditionalFormatting sqref="M2:M301">
    <cfRule type="cellIs" priority="1" operator="equal" dxfId="2">
      <formula>"BAJA"</formula>
    </cfRule>
    <cfRule type="cellIs" priority="2" operator="equal" dxfId="1">
      <formula>"AJUSTADA"</formula>
    </cfRule>
    <cfRule type="cellIs" priority="3" operator="equal" dxfId="0">
      <formula>"SANA"</formula>
    </cfRule>
  </conditionalFormatting>
  <conditionalFormatting sqref="H2:H301">
    <cfRule type="cellIs" priority="4" operator="equal" dxfId="2">
      <formula>"Alto"</formula>
    </cfRule>
    <cfRule type="cellIs" priority="5" operator="equal" dxfId="1">
      <formula>"Medio"</formula>
    </cfRule>
  </conditionalFormatting>
  <dataValidations count="4">
    <dataValidation sqref="C2:C301" showDropDown="0" showInputMessage="0" showErrorMessage="0" allowBlank="1" type="list">
      <formula1>=Parametros!$E$2:$E$7</formula1>
    </dataValidation>
    <dataValidation sqref="D2:D301" showDropDown="0" showInputMessage="0" showErrorMessage="0" allowBlank="1" type="list">
      <formula1>=Parametros!$D$2:$D$7</formula1>
    </dataValidation>
    <dataValidation sqref="G2:G301" showDropDown="0" showInputMessage="0" showErrorMessage="0" allowBlank="1" type="list">
      <formula1>=Parametros!$K$2:$K$4</formula1>
    </dataValidation>
    <dataValidation sqref="H2:H301" showDropDown="0" showInputMessage="0" showErrorMessage="0" allowBlank="1" type="list">
      <formula1>=Parametros!$L$2:$L$4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8" customWidth="1" min="5" max="5"/>
    <col width="14" customWidth="1" min="6" max="6"/>
    <col width="10" customWidth="1" min="7" max="7"/>
    <col width="12" customWidth="1" min="8" max="8"/>
    <col width="24" customWidth="1" min="9" max="9"/>
  </cols>
  <sheetData>
    <row r="1" ht="32" customHeight="1">
      <c r="A1" s="23" t="inlineStr">
        <is>
          <t>Cliente</t>
        </is>
      </c>
      <c r="B1" s="23" t="inlineStr">
        <is>
          <t>Obligación</t>
        </is>
      </c>
      <c r="C1" s="23" t="inlineStr">
        <is>
          <t>Periodo</t>
        </is>
      </c>
      <c r="D1" s="23" t="inlineStr">
        <is>
          <t>Fecha de vencimiento</t>
        </is>
      </c>
      <c r="E1" s="23" t="inlineStr">
        <is>
          <t>Estado</t>
        </is>
      </c>
      <c r="F1" s="23" t="inlineStr">
        <is>
          <t>Responsable</t>
        </is>
      </c>
      <c r="G1" s="23" t="inlineStr">
        <is>
          <t>Días restantes</t>
        </is>
      </c>
      <c r="H1" s="23" t="inlineStr">
        <is>
          <t>Alerta</t>
        </is>
      </c>
      <c r="I1" s="23" t="inlineStr">
        <is>
          <t>Número formulario / soporte</t>
        </is>
      </c>
      <c r="J1" s="27" t="inlineStr">
        <is>
          <t>Fechas de ejemplo calculadas a partir de la fecha de generación. Usa SIEMPRE el calendario oficial vigente (DIAN / municipio).</t>
        </is>
      </c>
    </row>
    <row r="2">
      <c r="A2" s="19" t="inlineStr">
        <is>
          <t>Restaurante La Ribera</t>
        </is>
      </c>
      <c r="B2" s="19" t="inlineStr">
        <is>
          <t>Retención en la fuente</t>
        </is>
      </c>
      <c r="C2" s="19" t="inlineStr">
        <is>
          <t>Sep 2026</t>
        </is>
      </c>
      <c r="D2" s="17" t="n">
        <v>46314</v>
      </c>
      <c r="E2" s="19" t="inlineStr">
        <is>
          <t>En preparación</t>
        </is>
      </c>
      <c r="F2" s="19" t="inlineStr">
        <is>
          <t>Titular</t>
        </is>
      </c>
      <c r="G2">
        <f>IF(OR(A2="",D2=""),"",IF(E2="Presentada","",D2-Parametros!$B$2))</f>
        <v/>
      </c>
      <c r="H2">
        <f>IF(OR(A2="",D2=""),"",IF(E2="Presentada","CUMPLIDA",IF(G2&lt;0,"VENCIDA",IF(G2&lt;=5,"URGENTE",IF(G2&lt;=15,"PRÓXIMA","OK")))))</f>
        <v/>
      </c>
      <c r="I2" s="19" t="n"/>
    </row>
    <row r="3">
      <c r="A3" s="19" t="inlineStr">
        <is>
          <t>Comercializadora Sinú SAS</t>
        </is>
      </c>
      <c r="B3" s="19" t="inlineStr">
        <is>
          <t>IVA</t>
        </is>
      </c>
      <c r="C3" s="19" t="inlineStr">
        <is>
          <t>Bim 4 2026</t>
        </is>
      </c>
      <c r="D3" s="17" t="n">
        <v>46321</v>
      </c>
      <c r="E3" s="19" t="inlineStr">
        <is>
          <t>Pendiente</t>
        </is>
      </c>
      <c r="F3" s="19" t="inlineStr">
        <is>
          <t>Titular</t>
        </is>
      </c>
      <c r="G3">
        <f>IF(OR(A3="",D3=""),"",IF(E3="Presentada","",D3-Parametros!$B$2))</f>
        <v/>
      </c>
      <c r="H3">
        <f>IF(OR(A3="",D3=""),"",IF(E3="Presentada","CUMPLIDA",IF(G3&lt;0,"VENCIDA",IF(G3&lt;=5,"URGENTE",IF(G3&lt;=15,"PRÓXIMA","OK")))))</f>
        <v/>
      </c>
      <c r="I3" s="19" t="n"/>
    </row>
    <row r="4">
      <c r="A4" s="19" t="inlineStr">
        <is>
          <t>Comercializadora Sinú SAS</t>
        </is>
      </c>
      <c r="B4" s="19" t="inlineStr">
        <is>
          <t>Retención en la fuente</t>
        </is>
      </c>
      <c r="C4" s="19" t="inlineStr">
        <is>
          <t>Sep 2026</t>
        </is>
      </c>
      <c r="D4" s="17" t="n">
        <v>46309</v>
      </c>
      <c r="E4" s="19" t="inlineStr">
        <is>
          <t>Presentada</t>
        </is>
      </c>
      <c r="F4" s="19" t="inlineStr">
        <is>
          <t>Titular</t>
        </is>
      </c>
      <c r="G4">
        <f>IF(OR(A4="",D4=""),"",IF(E4="Presentada","",D4-Parametros!$B$2))</f>
        <v/>
      </c>
      <c r="H4">
        <f>IF(OR(A4="",D4=""),"",IF(E4="Presentada","CUMPLIDA",IF(G4&lt;0,"VENCIDA",IF(G4&lt;=5,"URGENTE",IF(G4&lt;=15,"PRÓXIMA","OK")))))</f>
        <v/>
      </c>
      <c r="I4" s="19" t="n"/>
    </row>
    <row r="5">
      <c r="A5" s="19" t="inlineStr">
        <is>
          <t>Juan Pérez (independiente)</t>
        </is>
      </c>
      <c r="B5" s="19" t="inlineStr">
        <is>
          <t>Renta PN</t>
        </is>
      </c>
      <c r="C5" s="19" t="inlineStr">
        <is>
          <t>AG 2025</t>
        </is>
      </c>
      <c r="D5" s="17" t="n">
        <v>46351</v>
      </c>
      <c r="E5" s="19" t="inlineStr">
        <is>
          <t>Pendiente</t>
        </is>
      </c>
      <c r="F5" s="19" t="inlineStr">
        <is>
          <t>Titular</t>
        </is>
      </c>
      <c r="G5">
        <f>IF(OR(A5="",D5=""),"",IF(E5="Presentada","",D5-Parametros!$B$2))</f>
        <v/>
      </c>
      <c r="H5">
        <f>IF(OR(A5="",D5=""),"",IF(E5="Presentada","CUMPLIDA",IF(G5&lt;0,"VENCIDA",IF(G5&lt;=5,"URGENTE",IF(G5&lt;=15,"PRÓXIMA","OK")))))</f>
        <v/>
      </c>
      <c r="I5" s="19" t="n"/>
    </row>
    <row r="6">
      <c r="A6" s="19" t="inlineStr">
        <is>
          <t>Taller Mecánico Rápido</t>
        </is>
      </c>
      <c r="B6" s="19" t="inlineStr">
        <is>
          <t>Nómina electrónica</t>
        </is>
      </c>
      <c r="C6" s="19" t="inlineStr">
        <is>
          <t>Sep 2026</t>
        </is>
      </c>
      <c r="D6" s="17" t="n">
        <v>46310</v>
      </c>
      <c r="E6" s="19" t="inlineStr">
        <is>
          <t>Pendiente</t>
        </is>
      </c>
      <c r="F6" s="19" t="inlineStr">
        <is>
          <t>Titular</t>
        </is>
      </c>
      <c r="G6">
        <f>IF(OR(A6="",D6=""),"",IF(E6="Presentada","",D6-Parametros!$B$2))</f>
        <v/>
      </c>
      <c r="H6">
        <f>IF(OR(A6="",D6=""),"",IF(E6="Presentada","CUMPLIDA",IF(G6&lt;0,"VENCIDA",IF(G6&lt;=5,"URGENTE",IF(G6&lt;=15,"PRÓXIMA","OK")))))</f>
        <v/>
      </c>
      <c r="I6" s="19" t="n"/>
    </row>
    <row r="7">
      <c r="A7" s="19" t="n"/>
      <c r="B7" s="19" t="n"/>
      <c r="C7" s="19" t="n"/>
      <c r="D7" s="17" t="n"/>
      <c r="E7" s="19" t="n"/>
      <c r="F7" s="19" t="n"/>
      <c r="G7">
        <f>IF(OR(A7="",D7=""),"",IF(E7="Presentada","",D7-Parametros!$B$2))</f>
        <v/>
      </c>
      <c r="H7">
        <f>IF(OR(A7="",D7=""),"",IF(E7="Presentada","CUMPLIDA",IF(G7&lt;0,"VENCIDA",IF(G7&lt;=5,"URGENTE",IF(G7&lt;=15,"PRÓXIMA","OK")))))</f>
        <v/>
      </c>
      <c r="I7" s="19" t="n"/>
    </row>
    <row r="8">
      <c r="A8" s="19" t="n"/>
      <c r="B8" s="19" t="n"/>
      <c r="C8" s="19" t="n"/>
      <c r="D8" s="17" t="n"/>
      <c r="E8" s="19" t="n"/>
      <c r="F8" s="19" t="n"/>
      <c r="G8">
        <f>IF(OR(A8="",D8=""),"",IF(E8="Presentada","",D8-Parametros!$B$2))</f>
        <v/>
      </c>
      <c r="H8">
        <f>IF(OR(A8="",D8=""),"",IF(E8="Presentada","CUMPLIDA",IF(G8&lt;0,"VENCIDA",IF(G8&lt;=5,"URGENTE",IF(G8&lt;=15,"PRÓXIMA","OK")))))</f>
        <v/>
      </c>
      <c r="I8" s="19" t="n"/>
    </row>
    <row r="9">
      <c r="A9" s="19" t="n"/>
      <c r="B9" s="19" t="n"/>
      <c r="C9" s="19" t="n"/>
      <c r="D9" s="17" t="n"/>
      <c r="E9" s="19" t="n"/>
      <c r="F9" s="19" t="n"/>
      <c r="G9">
        <f>IF(OR(A9="",D9=""),"",IF(E9="Presentada","",D9-Parametros!$B$2))</f>
        <v/>
      </c>
      <c r="H9">
        <f>IF(OR(A9="",D9=""),"",IF(E9="Presentada","CUMPLIDA",IF(G9&lt;0,"VENCIDA",IF(G9&lt;=5,"URGENTE",IF(G9&lt;=15,"PRÓXIMA","OK")))))</f>
        <v/>
      </c>
      <c r="I9" s="19" t="n"/>
    </row>
    <row r="10">
      <c r="A10" s="19" t="n"/>
      <c r="B10" s="19" t="n"/>
      <c r="C10" s="19" t="n"/>
      <c r="D10" s="17" t="n"/>
      <c r="E10" s="19" t="n"/>
      <c r="F10" s="19" t="n"/>
      <c r="G10">
        <f>IF(OR(A10="",D10=""),"",IF(E10="Presentada","",D10-Parametros!$B$2))</f>
        <v/>
      </c>
      <c r="H10">
        <f>IF(OR(A10="",D10=""),"",IF(E10="Presentada","CUMPLIDA",IF(G10&lt;0,"VENCIDA",IF(G10&lt;=5,"URGENTE",IF(G10&lt;=15,"PRÓXIMA","OK")))))</f>
        <v/>
      </c>
      <c r="I10" s="19" t="n"/>
    </row>
    <row r="11">
      <c r="A11" s="19" t="n"/>
      <c r="B11" s="19" t="n"/>
      <c r="C11" s="19" t="n"/>
      <c r="D11" s="17" t="n"/>
      <c r="E11" s="19" t="n"/>
      <c r="F11" s="19" t="n"/>
      <c r="G11">
        <f>IF(OR(A11="",D11=""),"",IF(E11="Presentada","",D11-Parametros!$B$2))</f>
        <v/>
      </c>
      <c r="H11">
        <f>IF(OR(A11="",D11=""),"",IF(E11="Presentada","CUMPLIDA",IF(G11&lt;0,"VENCIDA",IF(G11&lt;=5,"URGENTE",IF(G11&lt;=15,"PRÓXIMA","OK")))))</f>
        <v/>
      </c>
      <c r="I11" s="19" t="n"/>
    </row>
    <row r="12">
      <c r="A12" s="19" t="n"/>
      <c r="B12" s="19" t="n"/>
      <c r="C12" s="19" t="n"/>
      <c r="D12" s="17" t="n"/>
      <c r="E12" s="19" t="n"/>
      <c r="F12" s="19" t="n"/>
      <c r="G12">
        <f>IF(OR(A12="",D12=""),"",IF(E12="Presentada","",D12-Parametros!$B$2))</f>
        <v/>
      </c>
      <c r="H12">
        <f>IF(OR(A12="",D12=""),"",IF(E12="Presentada","CUMPLIDA",IF(G12&lt;0,"VENCIDA",IF(G12&lt;=5,"URGENTE",IF(G12&lt;=15,"PRÓXIMA","OK")))))</f>
        <v/>
      </c>
      <c r="I12" s="19" t="n"/>
    </row>
    <row r="13">
      <c r="A13" s="19" t="n"/>
      <c r="B13" s="19" t="n"/>
      <c r="C13" s="19" t="n"/>
      <c r="D13" s="17" t="n"/>
      <c r="E13" s="19" t="n"/>
      <c r="F13" s="19" t="n"/>
      <c r="G13">
        <f>IF(OR(A13="",D13=""),"",IF(E13="Presentada","",D13-Parametros!$B$2))</f>
        <v/>
      </c>
      <c r="H13">
        <f>IF(OR(A13="",D13=""),"",IF(E13="Presentada","CUMPLIDA",IF(G13&lt;0,"VENCIDA",IF(G13&lt;=5,"URGENTE",IF(G13&lt;=15,"PRÓXIMA","OK")))))</f>
        <v/>
      </c>
      <c r="I13" s="19" t="n"/>
    </row>
    <row r="14">
      <c r="A14" s="19" t="n"/>
      <c r="B14" s="19" t="n"/>
      <c r="C14" s="19" t="n"/>
      <c r="D14" s="17" t="n"/>
      <c r="E14" s="19" t="n"/>
      <c r="F14" s="19" t="n"/>
      <c r="G14">
        <f>IF(OR(A14="",D14=""),"",IF(E14="Presentada","",D14-Parametros!$B$2))</f>
        <v/>
      </c>
      <c r="H14">
        <f>IF(OR(A14="",D14=""),"",IF(E14="Presentada","CUMPLIDA",IF(G14&lt;0,"VENCIDA",IF(G14&lt;=5,"URGENTE",IF(G14&lt;=15,"PRÓXIMA","OK")))))</f>
        <v/>
      </c>
      <c r="I14" s="19" t="n"/>
    </row>
    <row r="15">
      <c r="A15" s="19" t="n"/>
      <c r="B15" s="19" t="n"/>
      <c r="C15" s="19" t="n"/>
      <c r="D15" s="17" t="n"/>
      <c r="E15" s="19" t="n"/>
      <c r="F15" s="19" t="n"/>
      <c r="G15">
        <f>IF(OR(A15="",D15=""),"",IF(E15="Presentada","",D15-Parametros!$B$2))</f>
        <v/>
      </c>
      <c r="H15">
        <f>IF(OR(A15="",D15=""),"",IF(E15="Presentada","CUMPLIDA",IF(G15&lt;0,"VENCIDA",IF(G15&lt;=5,"URGENTE",IF(G15&lt;=15,"PRÓXIMA","OK")))))</f>
        <v/>
      </c>
      <c r="I15" s="19" t="n"/>
    </row>
    <row r="16">
      <c r="A16" s="19" t="n"/>
      <c r="B16" s="19" t="n"/>
      <c r="C16" s="19" t="n"/>
      <c r="D16" s="17" t="n"/>
      <c r="E16" s="19" t="n"/>
      <c r="F16" s="19" t="n"/>
      <c r="G16">
        <f>IF(OR(A16="",D16=""),"",IF(E16="Presentada","",D16-Parametros!$B$2))</f>
        <v/>
      </c>
      <c r="H16">
        <f>IF(OR(A16="",D16=""),"",IF(E16="Presentada","CUMPLIDA",IF(G16&lt;0,"VENCIDA",IF(G16&lt;=5,"URGENTE",IF(G16&lt;=15,"PRÓXIMA","OK")))))</f>
        <v/>
      </c>
      <c r="I16" s="19" t="n"/>
    </row>
    <row r="17">
      <c r="A17" s="19" t="n"/>
      <c r="B17" s="19" t="n"/>
      <c r="C17" s="19" t="n"/>
      <c r="D17" s="17" t="n"/>
      <c r="E17" s="19" t="n"/>
      <c r="F17" s="19" t="n"/>
      <c r="G17">
        <f>IF(OR(A17="",D17=""),"",IF(E17="Presentada","",D17-Parametros!$B$2))</f>
        <v/>
      </c>
      <c r="H17">
        <f>IF(OR(A17="",D17=""),"",IF(E17="Presentada","CUMPLIDA",IF(G17&lt;0,"VENCIDA",IF(G17&lt;=5,"URGENTE",IF(G17&lt;=15,"PRÓXIMA","OK")))))</f>
        <v/>
      </c>
      <c r="I17" s="19" t="n"/>
    </row>
    <row r="18">
      <c r="A18" s="19" t="n"/>
      <c r="B18" s="19" t="n"/>
      <c r="C18" s="19" t="n"/>
      <c r="D18" s="17" t="n"/>
      <c r="E18" s="19" t="n"/>
      <c r="F18" s="19" t="n"/>
      <c r="G18">
        <f>IF(OR(A18="",D18=""),"",IF(E18="Presentada","",D18-Parametros!$B$2))</f>
        <v/>
      </c>
      <c r="H18">
        <f>IF(OR(A18="",D18=""),"",IF(E18="Presentada","CUMPLIDA",IF(G18&lt;0,"VENCIDA",IF(G18&lt;=5,"URGENTE",IF(G18&lt;=15,"PRÓXIMA","OK")))))</f>
        <v/>
      </c>
      <c r="I18" s="19" t="n"/>
    </row>
    <row r="19">
      <c r="A19" s="19" t="n"/>
      <c r="B19" s="19" t="n"/>
      <c r="C19" s="19" t="n"/>
      <c r="D19" s="17" t="n"/>
      <c r="E19" s="19" t="n"/>
      <c r="F19" s="19" t="n"/>
      <c r="G19">
        <f>IF(OR(A19="",D19=""),"",IF(E19="Presentada","",D19-Parametros!$B$2))</f>
        <v/>
      </c>
      <c r="H19">
        <f>IF(OR(A19="",D19=""),"",IF(E19="Presentada","CUMPLIDA",IF(G19&lt;0,"VENCIDA",IF(G19&lt;=5,"URGENTE",IF(G19&lt;=15,"PRÓXIMA","OK")))))</f>
        <v/>
      </c>
      <c r="I19" s="19" t="n"/>
    </row>
    <row r="20">
      <c r="A20" s="19" t="n"/>
      <c r="B20" s="19" t="n"/>
      <c r="C20" s="19" t="n"/>
      <c r="D20" s="17" t="n"/>
      <c r="E20" s="19" t="n"/>
      <c r="F20" s="19" t="n"/>
      <c r="G20">
        <f>IF(OR(A20="",D20=""),"",IF(E20="Presentada","",D20-Parametros!$B$2))</f>
        <v/>
      </c>
      <c r="H20">
        <f>IF(OR(A20="",D20=""),"",IF(E20="Presentada","CUMPLIDA",IF(G20&lt;0,"VENCIDA",IF(G20&lt;=5,"URGENTE",IF(G20&lt;=15,"PRÓXIMA","OK")))))</f>
        <v/>
      </c>
      <c r="I20" s="19" t="n"/>
    </row>
    <row r="21">
      <c r="A21" s="19" t="n"/>
      <c r="B21" s="19" t="n"/>
      <c r="C21" s="19" t="n"/>
      <c r="D21" s="17" t="n"/>
      <c r="E21" s="19" t="n"/>
      <c r="F21" s="19" t="n"/>
      <c r="G21">
        <f>IF(OR(A21="",D21=""),"",IF(E21="Presentada","",D21-Parametros!$B$2))</f>
        <v/>
      </c>
      <c r="H21">
        <f>IF(OR(A21="",D21=""),"",IF(E21="Presentada","CUMPLIDA",IF(G21&lt;0,"VENCIDA",IF(G21&lt;=5,"URGENTE",IF(G21&lt;=15,"PRÓXIMA","OK")))))</f>
        <v/>
      </c>
      <c r="I21" s="19" t="n"/>
    </row>
    <row r="22">
      <c r="A22" s="19" t="n"/>
      <c r="B22" s="19" t="n"/>
      <c r="C22" s="19" t="n"/>
      <c r="D22" s="17" t="n"/>
      <c r="E22" s="19" t="n"/>
      <c r="F22" s="19" t="n"/>
      <c r="G22">
        <f>IF(OR(A22="",D22=""),"",IF(E22="Presentada","",D22-Parametros!$B$2))</f>
        <v/>
      </c>
      <c r="H22">
        <f>IF(OR(A22="",D22=""),"",IF(E22="Presentada","CUMPLIDA",IF(G22&lt;0,"VENCIDA",IF(G22&lt;=5,"URGENTE",IF(G22&lt;=15,"PRÓXIMA","OK")))))</f>
        <v/>
      </c>
      <c r="I22" s="19" t="n"/>
    </row>
    <row r="23">
      <c r="A23" s="19" t="n"/>
      <c r="B23" s="19" t="n"/>
      <c r="C23" s="19" t="n"/>
      <c r="D23" s="17" t="n"/>
      <c r="E23" s="19" t="n"/>
      <c r="F23" s="19" t="n"/>
      <c r="G23">
        <f>IF(OR(A23="",D23=""),"",IF(E23="Presentada","",D23-Parametros!$B$2))</f>
        <v/>
      </c>
      <c r="H23">
        <f>IF(OR(A23="",D23=""),"",IF(E23="Presentada","CUMPLIDA",IF(G23&lt;0,"VENCIDA",IF(G23&lt;=5,"URGENTE",IF(G23&lt;=15,"PRÓXIMA","OK")))))</f>
        <v/>
      </c>
      <c r="I23" s="19" t="n"/>
    </row>
    <row r="24">
      <c r="A24" s="19" t="n"/>
      <c r="B24" s="19" t="n"/>
      <c r="C24" s="19" t="n"/>
      <c r="D24" s="17" t="n"/>
      <c r="E24" s="19" t="n"/>
      <c r="F24" s="19" t="n"/>
      <c r="G24">
        <f>IF(OR(A24="",D24=""),"",IF(E24="Presentada","",D24-Parametros!$B$2))</f>
        <v/>
      </c>
      <c r="H24">
        <f>IF(OR(A24="",D24=""),"",IF(E24="Presentada","CUMPLIDA",IF(G24&lt;0,"VENCIDA",IF(G24&lt;=5,"URGENTE",IF(G24&lt;=15,"PRÓXIMA","OK")))))</f>
        <v/>
      </c>
      <c r="I24" s="19" t="n"/>
    </row>
    <row r="25">
      <c r="A25" s="19" t="n"/>
      <c r="B25" s="19" t="n"/>
      <c r="C25" s="19" t="n"/>
      <c r="D25" s="17" t="n"/>
      <c r="E25" s="19" t="n"/>
      <c r="F25" s="19" t="n"/>
      <c r="G25">
        <f>IF(OR(A25="",D25=""),"",IF(E25="Presentada","",D25-Parametros!$B$2))</f>
        <v/>
      </c>
      <c r="H25">
        <f>IF(OR(A25="",D25=""),"",IF(E25="Presentada","CUMPLIDA",IF(G25&lt;0,"VENCIDA",IF(G25&lt;=5,"URGENTE",IF(G25&lt;=15,"PRÓXIMA","OK")))))</f>
        <v/>
      </c>
      <c r="I25" s="19" t="n"/>
    </row>
    <row r="26">
      <c r="A26" s="19" t="n"/>
      <c r="B26" s="19" t="n"/>
      <c r="C26" s="19" t="n"/>
      <c r="D26" s="17" t="n"/>
      <c r="E26" s="19" t="n"/>
      <c r="F26" s="19" t="n"/>
      <c r="G26">
        <f>IF(OR(A26="",D26=""),"",IF(E26="Presentada","",D26-Parametros!$B$2))</f>
        <v/>
      </c>
      <c r="H26">
        <f>IF(OR(A26="",D26=""),"",IF(E26="Presentada","CUMPLIDA",IF(G26&lt;0,"VENCIDA",IF(G26&lt;=5,"URGENTE",IF(G26&lt;=15,"PRÓXIMA","OK")))))</f>
        <v/>
      </c>
      <c r="I26" s="19" t="n"/>
    </row>
    <row r="27">
      <c r="A27" s="19" t="n"/>
      <c r="B27" s="19" t="n"/>
      <c r="C27" s="19" t="n"/>
      <c r="D27" s="17" t="n"/>
      <c r="E27" s="19" t="n"/>
      <c r="F27" s="19" t="n"/>
      <c r="G27">
        <f>IF(OR(A27="",D27=""),"",IF(E27="Presentada","",D27-Parametros!$B$2))</f>
        <v/>
      </c>
      <c r="H27">
        <f>IF(OR(A27="",D27=""),"",IF(E27="Presentada","CUMPLIDA",IF(G27&lt;0,"VENCIDA",IF(G27&lt;=5,"URGENTE",IF(G27&lt;=15,"PRÓXIMA","OK")))))</f>
        <v/>
      </c>
      <c r="I27" s="19" t="n"/>
    </row>
    <row r="28">
      <c r="A28" s="19" t="n"/>
      <c r="B28" s="19" t="n"/>
      <c r="C28" s="19" t="n"/>
      <c r="D28" s="17" t="n"/>
      <c r="E28" s="19" t="n"/>
      <c r="F28" s="19" t="n"/>
      <c r="G28">
        <f>IF(OR(A28="",D28=""),"",IF(E28="Presentada","",D28-Parametros!$B$2))</f>
        <v/>
      </c>
      <c r="H28">
        <f>IF(OR(A28="",D28=""),"",IF(E28="Presentada","CUMPLIDA",IF(G28&lt;0,"VENCIDA",IF(G28&lt;=5,"URGENTE",IF(G28&lt;=15,"PRÓXIMA","OK")))))</f>
        <v/>
      </c>
      <c r="I28" s="19" t="n"/>
    </row>
    <row r="29">
      <c r="A29" s="19" t="n"/>
      <c r="B29" s="19" t="n"/>
      <c r="C29" s="19" t="n"/>
      <c r="D29" s="17" t="n"/>
      <c r="E29" s="19" t="n"/>
      <c r="F29" s="19" t="n"/>
      <c r="G29">
        <f>IF(OR(A29="",D29=""),"",IF(E29="Presentada","",D29-Parametros!$B$2))</f>
        <v/>
      </c>
      <c r="H29">
        <f>IF(OR(A29="",D29=""),"",IF(E29="Presentada","CUMPLIDA",IF(G29&lt;0,"VENCIDA",IF(G29&lt;=5,"URGENTE",IF(G29&lt;=15,"PRÓXIMA","OK")))))</f>
        <v/>
      </c>
      <c r="I29" s="19" t="n"/>
    </row>
    <row r="30">
      <c r="A30" s="19" t="n"/>
      <c r="B30" s="19" t="n"/>
      <c r="C30" s="19" t="n"/>
      <c r="D30" s="17" t="n"/>
      <c r="E30" s="19" t="n"/>
      <c r="F30" s="19" t="n"/>
      <c r="G30">
        <f>IF(OR(A30="",D30=""),"",IF(E30="Presentada","",D30-Parametros!$B$2))</f>
        <v/>
      </c>
      <c r="H30">
        <f>IF(OR(A30="",D30=""),"",IF(E30="Presentada","CUMPLIDA",IF(G30&lt;0,"VENCIDA",IF(G30&lt;=5,"URGENTE",IF(G30&lt;=15,"PRÓXIMA","OK")))))</f>
        <v/>
      </c>
      <c r="I30" s="19" t="n"/>
    </row>
    <row r="31">
      <c r="A31" s="19" t="n"/>
      <c r="B31" s="19" t="n"/>
      <c r="C31" s="19" t="n"/>
      <c r="D31" s="17" t="n"/>
      <c r="E31" s="19" t="n"/>
      <c r="F31" s="19" t="n"/>
      <c r="G31">
        <f>IF(OR(A31="",D31=""),"",IF(E31="Presentada","",D31-Parametros!$B$2))</f>
        <v/>
      </c>
      <c r="H31">
        <f>IF(OR(A31="",D31=""),"",IF(E31="Presentada","CUMPLIDA",IF(G31&lt;0,"VENCIDA",IF(G31&lt;=5,"URGENTE",IF(G31&lt;=15,"PRÓXIMA","OK")))))</f>
        <v/>
      </c>
      <c r="I31" s="19" t="n"/>
    </row>
    <row r="32">
      <c r="A32" s="19" t="n"/>
      <c r="B32" s="19" t="n"/>
      <c r="C32" s="19" t="n"/>
      <c r="D32" s="17" t="n"/>
      <c r="E32" s="19" t="n"/>
      <c r="F32" s="19" t="n"/>
      <c r="G32">
        <f>IF(OR(A32="",D32=""),"",IF(E32="Presentada","",D32-Parametros!$B$2))</f>
        <v/>
      </c>
      <c r="H32">
        <f>IF(OR(A32="",D32=""),"",IF(E32="Presentada","CUMPLIDA",IF(G32&lt;0,"VENCIDA",IF(G32&lt;=5,"URGENTE",IF(G32&lt;=15,"PRÓXIMA","OK")))))</f>
        <v/>
      </c>
      <c r="I32" s="19" t="n"/>
    </row>
    <row r="33">
      <c r="A33" s="19" t="n"/>
      <c r="B33" s="19" t="n"/>
      <c r="C33" s="19" t="n"/>
      <c r="D33" s="17" t="n"/>
      <c r="E33" s="19" t="n"/>
      <c r="F33" s="19" t="n"/>
      <c r="G33">
        <f>IF(OR(A33="",D33=""),"",IF(E33="Presentada","",D33-Parametros!$B$2))</f>
        <v/>
      </c>
      <c r="H33">
        <f>IF(OR(A33="",D33=""),"",IF(E33="Presentada","CUMPLIDA",IF(G33&lt;0,"VENCIDA",IF(G33&lt;=5,"URGENTE",IF(G33&lt;=15,"PRÓXIMA","OK")))))</f>
        <v/>
      </c>
      <c r="I33" s="19" t="n"/>
    </row>
    <row r="34">
      <c r="A34" s="19" t="n"/>
      <c r="B34" s="19" t="n"/>
      <c r="C34" s="19" t="n"/>
      <c r="D34" s="17" t="n"/>
      <c r="E34" s="19" t="n"/>
      <c r="F34" s="19" t="n"/>
      <c r="G34">
        <f>IF(OR(A34="",D34=""),"",IF(E34="Presentada","",D34-Parametros!$B$2))</f>
        <v/>
      </c>
      <c r="H34">
        <f>IF(OR(A34="",D34=""),"",IF(E34="Presentada","CUMPLIDA",IF(G34&lt;0,"VENCIDA",IF(G34&lt;=5,"URGENTE",IF(G34&lt;=15,"PRÓXIMA","OK")))))</f>
        <v/>
      </c>
      <c r="I34" s="19" t="n"/>
    </row>
    <row r="35">
      <c r="A35" s="19" t="n"/>
      <c r="B35" s="19" t="n"/>
      <c r="C35" s="19" t="n"/>
      <c r="D35" s="17" t="n"/>
      <c r="E35" s="19" t="n"/>
      <c r="F35" s="19" t="n"/>
      <c r="G35">
        <f>IF(OR(A35="",D35=""),"",IF(E35="Presentada","",D35-Parametros!$B$2))</f>
        <v/>
      </c>
      <c r="H35">
        <f>IF(OR(A35="",D35=""),"",IF(E35="Presentada","CUMPLIDA",IF(G35&lt;0,"VENCIDA",IF(G35&lt;=5,"URGENTE",IF(G35&lt;=15,"PRÓXIMA","OK")))))</f>
        <v/>
      </c>
      <c r="I35" s="19" t="n"/>
    </row>
    <row r="36">
      <c r="A36" s="19" t="n"/>
      <c r="B36" s="19" t="n"/>
      <c r="C36" s="19" t="n"/>
      <c r="D36" s="17" t="n"/>
      <c r="E36" s="19" t="n"/>
      <c r="F36" s="19" t="n"/>
      <c r="G36">
        <f>IF(OR(A36="",D36=""),"",IF(E36="Presentada","",D36-Parametros!$B$2))</f>
        <v/>
      </c>
      <c r="H36">
        <f>IF(OR(A36="",D36=""),"",IF(E36="Presentada","CUMPLIDA",IF(G36&lt;0,"VENCIDA",IF(G36&lt;=5,"URGENTE",IF(G36&lt;=15,"PRÓXIMA","OK")))))</f>
        <v/>
      </c>
      <c r="I36" s="19" t="n"/>
    </row>
    <row r="37">
      <c r="A37" s="19" t="n"/>
      <c r="B37" s="19" t="n"/>
      <c r="C37" s="19" t="n"/>
      <c r="D37" s="17" t="n"/>
      <c r="E37" s="19" t="n"/>
      <c r="F37" s="19" t="n"/>
      <c r="G37">
        <f>IF(OR(A37="",D37=""),"",IF(E37="Presentada","",D37-Parametros!$B$2))</f>
        <v/>
      </c>
      <c r="H37">
        <f>IF(OR(A37="",D37=""),"",IF(E37="Presentada","CUMPLIDA",IF(G37&lt;0,"VENCIDA",IF(G37&lt;=5,"URGENTE",IF(G37&lt;=15,"PRÓXIMA","OK")))))</f>
        <v/>
      </c>
      <c r="I37" s="19" t="n"/>
    </row>
    <row r="38">
      <c r="A38" s="19" t="n"/>
      <c r="B38" s="19" t="n"/>
      <c r="C38" s="19" t="n"/>
      <c r="D38" s="17" t="n"/>
      <c r="E38" s="19" t="n"/>
      <c r="F38" s="19" t="n"/>
      <c r="G38">
        <f>IF(OR(A38="",D38=""),"",IF(E38="Presentada","",D38-Parametros!$B$2))</f>
        <v/>
      </c>
      <c r="H38">
        <f>IF(OR(A38="",D38=""),"",IF(E38="Presentada","CUMPLIDA",IF(G38&lt;0,"VENCIDA",IF(G38&lt;=5,"URGENTE",IF(G38&lt;=15,"PRÓXIMA","OK")))))</f>
        <v/>
      </c>
      <c r="I38" s="19" t="n"/>
    </row>
    <row r="39">
      <c r="A39" s="19" t="n"/>
      <c r="B39" s="19" t="n"/>
      <c r="C39" s="19" t="n"/>
      <c r="D39" s="17" t="n"/>
      <c r="E39" s="19" t="n"/>
      <c r="F39" s="19" t="n"/>
      <c r="G39">
        <f>IF(OR(A39="",D39=""),"",IF(E39="Presentada","",D39-Parametros!$B$2))</f>
        <v/>
      </c>
      <c r="H39">
        <f>IF(OR(A39="",D39=""),"",IF(E39="Presentada","CUMPLIDA",IF(G39&lt;0,"VENCIDA",IF(G39&lt;=5,"URGENTE",IF(G39&lt;=15,"PRÓXIMA","OK")))))</f>
        <v/>
      </c>
      <c r="I39" s="19" t="n"/>
    </row>
    <row r="40">
      <c r="A40" s="19" t="n"/>
      <c r="B40" s="19" t="n"/>
      <c r="C40" s="19" t="n"/>
      <c r="D40" s="17" t="n"/>
      <c r="E40" s="19" t="n"/>
      <c r="F40" s="19" t="n"/>
      <c r="G40">
        <f>IF(OR(A40="",D40=""),"",IF(E40="Presentada","",D40-Parametros!$B$2))</f>
        <v/>
      </c>
      <c r="H40">
        <f>IF(OR(A40="",D40=""),"",IF(E40="Presentada","CUMPLIDA",IF(G40&lt;0,"VENCIDA",IF(G40&lt;=5,"URGENTE",IF(G40&lt;=15,"PRÓXIMA","OK")))))</f>
        <v/>
      </c>
      <c r="I40" s="19" t="n"/>
    </row>
    <row r="41">
      <c r="A41" s="19" t="n"/>
      <c r="B41" s="19" t="n"/>
      <c r="C41" s="19" t="n"/>
      <c r="D41" s="17" t="n"/>
      <c r="E41" s="19" t="n"/>
      <c r="F41" s="19" t="n"/>
      <c r="G41">
        <f>IF(OR(A41="",D41=""),"",IF(E41="Presentada","",D41-Parametros!$B$2))</f>
        <v/>
      </c>
      <c r="H41">
        <f>IF(OR(A41="",D41=""),"",IF(E41="Presentada","CUMPLIDA",IF(G41&lt;0,"VENCIDA",IF(G41&lt;=5,"URGENTE",IF(G41&lt;=15,"PRÓXIMA","OK")))))</f>
        <v/>
      </c>
      <c r="I41" s="19" t="n"/>
    </row>
    <row r="42">
      <c r="A42" s="19" t="n"/>
      <c r="B42" s="19" t="n"/>
      <c r="C42" s="19" t="n"/>
      <c r="D42" s="17" t="n"/>
      <c r="E42" s="19" t="n"/>
      <c r="F42" s="19" t="n"/>
      <c r="G42">
        <f>IF(OR(A42="",D42=""),"",IF(E42="Presentada","",D42-Parametros!$B$2))</f>
        <v/>
      </c>
      <c r="H42">
        <f>IF(OR(A42="",D42=""),"",IF(E42="Presentada","CUMPLIDA",IF(G42&lt;0,"VENCIDA",IF(G42&lt;=5,"URGENTE",IF(G42&lt;=15,"PRÓXIMA","OK")))))</f>
        <v/>
      </c>
      <c r="I42" s="19" t="n"/>
    </row>
    <row r="43">
      <c r="A43" s="19" t="n"/>
      <c r="B43" s="19" t="n"/>
      <c r="C43" s="19" t="n"/>
      <c r="D43" s="17" t="n"/>
      <c r="E43" s="19" t="n"/>
      <c r="F43" s="19" t="n"/>
      <c r="G43">
        <f>IF(OR(A43="",D43=""),"",IF(E43="Presentada","",D43-Parametros!$B$2))</f>
        <v/>
      </c>
      <c r="H43">
        <f>IF(OR(A43="",D43=""),"",IF(E43="Presentada","CUMPLIDA",IF(G43&lt;0,"VENCIDA",IF(G43&lt;=5,"URGENTE",IF(G43&lt;=15,"PRÓXIMA","OK")))))</f>
        <v/>
      </c>
      <c r="I43" s="19" t="n"/>
    </row>
    <row r="44">
      <c r="A44" s="19" t="n"/>
      <c r="B44" s="19" t="n"/>
      <c r="C44" s="19" t="n"/>
      <c r="D44" s="17" t="n"/>
      <c r="E44" s="19" t="n"/>
      <c r="F44" s="19" t="n"/>
      <c r="G44">
        <f>IF(OR(A44="",D44=""),"",IF(E44="Presentada","",D44-Parametros!$B$2))</f>
        <v/>
      </c>
      <c r="H44">
        <f>IF(OR(A44="",D44=""),"",IF(E44="Presentada","CUMPLIDA",IF(G44&lt;0,"VENCIDA",IF(G44&lt;=5,"URGENTE",IF(G44&lt;=15,"PRÓXIMA","OK")))))</f>
        <v/>
      </c>
      <c r="I44" s="19" t="n"/>
    </row>
    <row r="45">
      <c r="A45" s="19" t="n"/>
      <c r="B45" s="19" t="n"/>
      <c r="C45" s="19" t="n"/>
      <c r="D45" s="17" t="n"/>
      <c r="E45" s="19" t="n"/>
      <c r="F45" s="19" t="n"/>
      <c r="G45">
        <f>IF(OR(A45="",D45=""),"",IF(E45="Presentada","",D45-Parametros!$B$2))</f>
        <v/>
      </c>
      <c r="H45">
        <f>IF(OR(A45="",D45=""),"",IF(E45="Presentada","CUMPLIDA",IF(G45&lt;0,"VENCIDA",IF(G45&lt;=5,"URGENTE",IF(G45&lt;=15,"PRÓXIMA","OK")))))</f>
        <v/>
      </c>
      <c r="I45" s="19" t="n"/>
    </row>
    <row r="46">
      <c r="A46" s="19" t="n"/>
      <c r="B46" s="19" t="n"/>
      <c r="C46" s="19" t="n"/>
      <c r="D46" s="17" t="n"/>
      <c r="E46" s="19" t="n"/>
      <c r="F46" s="19" t="n"/>
      <c r="G46">
        <f>IF(OR(A46="",D46=""),"",IF(E46="Presentada","",D46-Parametros!$B$2))</f>
        <v/>
      </c>
      <c r="H46">
        <f>IF(OR(A46="",D46=""),"",IF(E46="Presentada","CUMPLIDA",IF(G46&lt;0,"VENCIDA",IF(G46&lt;=5,"URGENTE",IF(G46&lt;=15,"PRÓXIMA","OK")))))</f>
        <v/>
      </c>
      <c r="I46" s="19" t="n"/>
    </row>
    <row r="47">
      <c r="A47" s="19" t="n"/>
      <c r="B47" s="19" t="n"/>
      <c r="C47" s="19" t="n"/>
      <c r="D47" s="17" t="n"/>
      <c r="E47" s="19" t="n"/>
      <c r="F47" s="19" t="n"/>
      <c r="G47">
        <f>IF(OR(A47="",D47=""),"",IF(E47="Presentada","",D47-Parametros!$B$2))</f>
        <v/>
      </c>
      <c r="H47">
        <f>IF(OR(A47="",D47=""),"",IF(E47="Presentada","CUMPLIDA",IF(G47&lt;0,"VENCIDA",IF(G47&lt;=5,"URGENTE",IF(G47&lt;=15,"PRÓXIMA","OK")))))</f>
        <v/>
      </c>
      <c r="I47" s="19" t="n"/>
    </row>
    <row r="48">
      <c r="A48" s="19" t="n"/>
      <c r="B48" s="19" t="n"/>
      <c r="C48" s="19" t="n"/>
      <c r="D48" s="17" t="n"/>
      <c r="E48" s="19" t="n"/>
      <c r="F48" s="19" t="n"/>
      <c r="G48">
        <f>IF(OR(A48="",D48=""),"",IF(E48="Presentada","",D48-Parametros!$B$2))</f>
        <v/>
      </c>
      <c r="H48">
        <f>IF(OR(A48="",D48=""),"",IF(E48="Presentada","CUMPLIDA",IF(G48&lt;0,"VENCIDA",IF(G48&lt;=5,"URGENTE",IF(G48&lt;=15,"PRÓXIMA","OK")))))</f>
        <v/>
      </c>
      <c r="I48" s="19" t="n"/>
    </row>
    <row r="49">
      <c r="A49" s="19" t="n"/>
      <c r="B49" s="19" t="n"/>
      <c r="C49" s="19" t="n"/>
      <c r="D49" s="17" t="n"/>
      <c r="E49" s="19" t="n"/>
      <c r="F49" s="19" t="n"/>
      <c r="G49">
        <f>IF(OR(A49="",D49=""),"",IF(E49="Presentada","",D49-Parametros!$B$2))</f>
        <v/>
      </c>
      <c r="H49">
        <f>IF(OR(A49="",D49=""),"",IF(E49="Presentada","CUMPLIDA",IF(G49&lt;0,"VENCIDA",IF(G49&lt;=5,"URGENTE",IF(G49&lt;=15,"PRÓXIMA","OK")))))</f>
        <v/>
      </c>
      <c r="I49" s="19" t="n"/>
    </row>
    <row r="50">
      <c r="A50" s="19" t="n"/>
      <c r="B50" s="19" t="n"/>
      <c r="C50" s="19" t="n"/>
      <c r="D50" s="17" t="n"/>
      <c r="E50" s="19" t="n"/>
      <c r="F50" s="19" t="n"/>
      <c r="G50">
        <f>IF(OR(A50="",D50=""),"",IF(E50="Presentada","",D50-Parametros!$B$2))</f>
        <v/>
      </c>
      <c r="H50">
        <f>IF(OR(A50="",D50=""),"",IF(E50="Presentada","CUMPLIDA",IF(G50&lt;0,"VENCIDA",IF(G50&lt;=5,"URGENTE",IF(G50&lt;=15,"PRÓXIMA","OK")))))</f>
        <v/>
      </c>
      <c r="I50" s="19" t="n"/>
    </row>
    <row r="51">
      <c r="A51" s="19" t="n"/>
      <c r="B51" s="19" t="n"/>
      <c r="C51" s="19" t="n"/>
      <c r="D51" s="17" t="n"/>
      <c r="E51" s="19" t="n"/>
      <c r="F51" s="19" t="n"/>
      <c r="G51">
        <f>IF(OR(A51="",D51=""),"",IF(E51="Presentada","",D51-Parametros!$B$2))</f>
        <v/>
      </c>
      <c r="H51">
        <f>IF(OR(A51="",D51=""),"",IF(E51="Presentada","CUMPLIDA",IF(G51&lt;0,"VENCIDA",IF(G51&lt;=5,"URGENTE",IF(G51&lt;=15,"PRÓXIMA","OK")))))</f>
        <v/>
      </c>
      <c r="I51" s="19" t="n"/>
    </row>
    <row r="52">
      <c r="A52" s="19" t="n"/>
      <c r="B52" s="19" t="n"/>
      <c r="C52" s="19" t="n"/>
      <c r="D52" s="17" t="n"/>
      <c r="E52" s="19" t="n"/>
      <c r="F52" s="19" t="n"/>
      <c r="G52">
        <f>IF(OR(A52="",D52=""),"",IF(E52="Presentada","",D52-Parametros!$B$2))</f>
        <v/>
      </c>
      <c r="H52">
        <f>IF(OR(A52="",D52=""),"",IF(E52="Presentada","CUMPLIDA",IF(G52&lt;0,"VENCIDA",IF(G52&lt;=5,"URGENTE",IF(G52&lt;=15,"PRÓXIMA","OK")))))</f>
        <v/>
      </c>
      <c r="I52" s="19" t="n"/>
    </row>
    <row r="53">
      <c r="A53" s="19" t="n"/>
      <c r="B53" s="19" t="n"/>
      <c r="C53" s="19" t="n"/>
      <c r="D53" s="17" t="n"/>
      <c r="E53" s="19" t="n"/>
      <c r="F53" s="19" t="n"/>
      <c r="G53">
        <f>IF(OR(A53="",D53=""),"",IF(E53="Presentada","",D53-Parametros!$B$2))</f>
        <v/>
      </c>
      <c r="H53">
        <f>IF(OR(A53="",D53=""),"",IF(E53="Presentada","CUMPLIDA",IF(G53&lt;0,"VENCIDA",IF(G53&lt;=5,"URGENTE",IF(G53&lt;=15,"PRÓXIMA","OK")))))</f>
        <v/>
      </c>
      <c r="I53" s="19" t="n"/>
    </row>
    <row r="54">
      <c r="A54" s="19" t="n"/>
      <c r="B54" s="19" t="n"/>
      <c r="C54" s="19" t="n"/>
      <c r="D54" s="17" t="n"/>
      <c r="E54" s="19" t="n"/>
      <c r="F54" s="19" t="n"/>
      <c r="G54">
        <f>IF(OR(A54="",D54=""),"",IF(E54="Presentada","",D54-Parametros!$B$2))</f>
        <v/>
      </c>
      <c r="H54">
        <f>IF(OR(A54="",D54=""),"",IF(E54="Presentada","CUMPLIDA",IF(G54&lt;0,"VENCIDA",IF(G54&lt;=5,"URGENTE",IF(G54&lt;=15,"PRÓXIMA","OK")))))</f>
        <v/>
      </c>
      <c r="I54" s="19" t="n"/>
    </row>
    <row r="55">
      <c r="A55" s="19" t="n"/>
      <c r="B55" s="19" t="n"/>
      <c r="C55" s="19" t="n"/>
      <c r="D55" s="17" t="n"/>
      <c r="E55" s="19" t="n"/>
      <c r="F55" s="19" t="n"/>
      <c r="G55">
        <f>IF(OR(A55="",D55=""),"",IF(E55="Presentada","",D55-Parametros!$B$2))</f>
        <v/>
      </c>
      <c r="H55">
        <f>IF(OR(A55="",D55=""),"",IF(E55="Presentada","CUMPLIDA",IF(G55&lt;0,"VENCIDA",IF(G55&lt;=5,"URGENTE",IF(G55&lt;=15,"PRÓXIMA","OK")))))</f>
        <v/>
      </c>
      <c r="I55" s="19" t="n"/>
    </row>
    <row r="56">
      <c r="A56" s="19" t="n"/>
      <c r="B56" s="19" t="n"/>
      <c r="C56" s="19" t="n"/>
      <c r="D56" s="17" t="n"/>
      <c r="E56" s="19" t="n"/>
      <c r="F56" s="19" t="n"/>
      <c r="G56">
        <f>IF(OR(A56="",D56=""),"",IF(E56="Presentada","",D56-Parametros!$B$2))</f>
        <v/>
      </c>
      <c r="H56">
        <f>IF(OR(A56="",D56=""),"",IF(E56="Presentada","CUMPLIDA",IF(G56&lt;0,"VENCIDA",IF(G56&lt;=5,"URGENTE",IF(G56&lt;=15,"PRÓXIMA","OK")))))</f>
        <v/>
      </c>
      <c r="I56" s="19" t="n"/>
    </row>
    <row r="57">
      <c r="A57" s="19" t="n"/>
      <c r="B57" s="19" t="n"/>
      <c r="C57" s="19" t="n"/>
      <c r="D57" s="17" t="n"/>
      <c r="E57" s="19" t="n"/>
      <c r="F57" s="19" t="n"/>
      <c r="G57">
        <f>IF(OR(A57="",D57=""),"",IF(E57="Presentada","",D57-Parametros!$B$2))</f>
        <v/>
      </c>
      <c r="H57">
        <f>IF(OR(A57="",D57=""),"",IF(E57="Presentada","CUMPLIDA",IF(G57&lt;0,"VENCIDA",IF(G57&lt;=5,"URGENTE",IF(G57&lt;=15,"PRÓXIMA","OK")))))</f>
        <v/>
      </c>
      <c r="I57" s="19" t="n"/>
    </row>
    <row r="58">
      <c r="A58" s="19" t="n"/>
      <c r="B58" s="19" t="n"/>
      <c r="C58" s="19" t="n"/>
      <c r="D58" s="17" t="n"/>
      <c r="E58" s="19" t="n"/>
      <c r="F58" s="19" t="n"/>
      <c r="G58">
        <f>IF(OR(A58="",D58=""),"",IF(E58="Presentada","",D58-Parametros!$B$2))</f>
        <v/>
      </c>
      <c r="H58">
        <f>IF(OR(A58="",D58=""),"",IF(E58="Presentada","CUMPLIDA",IF(G58&lt;0,"VENCIDA",IF(G58&lt;=5,"URGENTE",IF(G58&lt;=15,"PRÓXIMA","OK")))))</f>
        <v/>
      </c>
      <c r="I58" s="19" t="n"/>
    </row>
    <row r="59">
      <c r="A59" s="19" t="n"/>
      <c r="B59" s="19" t="n"/>
      <c r="C59" s="19" t="n"/>
      <c r="D59" s="17" t="n"/>
      <c r="E59" s="19" t="n"/>
      <c r="F59" s="19" t="n"/>
      <c r="G59">
        <f>IF(OR(A59="",D59=""),"",IF(E59="Presentada","",D59-Parametros!$B$2))</f>
        <v/>
      </c>
      <c r="H59">
        <f>IF(OR(A59="",D59=""),"",IF(E59="Presentada","CUMPLIDA",IF(G59&lt;0,"VENCIDA",IF(G59&lt;=5,"URGENTE",IF(G59&lt;=15,"PRÓXIMA","OK")))))</f>
        <v/>
      </c>
      <c r="I59" s="19" t="n"/>
    </row>
    <row r="60">
      <c r="A60" s="19" t="n"/>
      <c r="B60" s="19" t="n"/>
      <c r="C60" s="19" t="n"/>
      <c r="D60" s="17" t="n"/>
      <c r="E60" s="19" t="n"/>
      <c r="F60" s="19" t="n"/>
      <c r="G60">
        <f>IF(OR(A60="",D60=""),"",IF(E60="Presentada","",D60-Parametros!$B$2))</f>
        <v/>
      </c>
      <c r="H60">
        <f>IF(OR(A60="",D60=""),"",IF(E60="Presentada","CUMPLIDA",IF(G60&lt;0,"VENCIDA",IF(G60&lt;=5,"URGENTE",IF(G60&lt;=15,"PRÓXIMA","OK")))))</f>
        <v/>
      </c>
      <c r="I60" s="19" t="n"/>
    </row>
    <row r="61">
      <c r="A61" s="19" t="n"/>
      <c r="B61" s="19" t="n"/>
      <c r="C61" s="19" t="n"/>
      <c r="D61" s="17" t="n"/>
      <c r="E61" s="19" t="n"/>
      <c r="F61" s="19" t="n"/>
      <c r="G61">
        <f>IF(OR(A61="",D61=""),"",IF(E61="Presentada","",D61-Parametros!$B$2))</f>
        <v/>
      </c>
      <c r="H61">
        <f>IF(OR(A61="",D61=""),"",IF(E61="Presentada","CUMPLIDA",IF(G61&lt;0,"VENCIDA",IF(G61&lt;=5,"URGENTE",IF(G61&lt;=15,"PRÓXIMA","OK")))))</f>
        <v/>
      </c>
      <c r="I61" s="19" t="n"/>
    </row>
    <row r="62">
      <c r="A62" s="19" t="n"/>
      <c r="B62" s="19" t="n"/>
      <c r="C62" s="19" t="n"/>
      <c r="D62" s="17" t="n"/>
      <c r="E62" s="19" t="n"/>
      <c r="F62" s="19" t="n"/>
      <c r="G62">
        <f>IF(OR(A62="",D62=""),"",IF(E62="Presentada","",D62-Parametros!$B$2))</f>
        <v/>
      </c>
      <c r="H62">
        <f>IF(OR(A62="",D62=""),"",IF(E62="Presentada","CUMPLIDA",IF(G62&lt;0,"VENCIDA",IF(G62&lt;=5,"URGENTE",IF(G62&lt;=15,"PRÓXIMA","OK")))))</f>
        <v/>
      </c>
      <c r="I62" s="19" t="n"/>
    </row>
    <row r="63">
      <c r="A63" s="19" t="n"/>
      <c r="B63" s="19" t="n"/>
      <c r="C63" s="19" t="n"/>
      <c r="D63" s="17" t="n"/>
      <c r="E63" s="19" t="n"/>
      <c r="F63" s="19" t="n"/>
      <c r="G63">
        <f>IF(OR(A63="",D63=""),"",IF(E63="Presentada","",D63-Parametros!$B$2))</f>
        <v/>
      </c>
      <c r="H63">
        <f>IF(OR(A63="",D63=""),"",IF(E63="Presentada","CUMPLIDA",IF(G63&lt;0,"VENCIDA",IF(G63&lt;=5,"URGENTE",IF(G63&lt;=15,"PRÓXIMA","OK")))))</f>
        <v/>
      </c>
      <c r="I63" s="19" t="n"/>
    </row>
    <row r="64">
      <c r="A64" s="19" t="n"/>
      <c r="B64" s="19" t="n"/>
      <c r="C64" s="19" t="n"/>
      <c r="D64" s="17" t="n"/>
      <c r="E64" s="19" t="n"/>
      <c r="F64" s="19" t="n"/>
      <c r="G64">
        <f>IF(OR(A64="",D64=""),"",IF(E64="Presentada","",D64-Parametros!$B$2))</f>
        <v/>
      </c>
      <c r="H64">
        <f>IF(OR(A64="",D64=""),"",IF(E64="Presentada","CUMPLIDA",IF(G64&lt;0,"VENCIDA",IF(G64&lt;=5,"URGENTE",IF(G64&lt;=15,"PRÓXIMA","OK")))))</f>
        <v/>
      </c>
      <c r="I64" s="19" t="n"/>
    </row>
    <row r="65">
      <c r="A65" s="19" t="n"/>
      <c r="B65" s="19" t="n"/>
      <c r="C65" s="19" t="n"/>
      <c r="D65" s="17" t="n"/>
      <c r="E65" s="19" t="n"/>
      <c r="F65" s="19" t="n"/>
      <c r="G65">
        <f>IF(OR(A65="",D65=""),"",IF(E65="Presentada","",D65-Parametros!$B$2))</f>
        <v/>
      </c>
      <c r="H65">
        <f>IF(OR(A65="",D65=""),"",IF(E65="Presentada","CUMPLIDA",IF(G65&lt;0,"VENCIDA",IF(G65&lt;=5,"URGENTE",IF(G65&lt;=15,"PRÓXIMA","OK")))))</f>
        <v/>
      </c>
      <c r="I65" s="19" t="n"/>
    </row>
    <row r="66">
      <c r="A66" s="19" t="n"/>
      <c r="B66" s="19" t="n"/>
      <c r="C66" s="19" t="n"/>
      <c r="D66" s="17" t="n"/>
      <c r="E66" s="19" t="n"/>
      <c r="F66" s="19" t="n"/>
      <c r="G66">
        <f>IF(OR(A66="",D66=""),"",IF(E66="Presentada","",D66-Parametros!$B$2))</f>
        <v/>
      </c>
      <c r="H66">
        <f>IF(OR(A66="",D66=""),"",IF(E66="Presentada","CUMPLIDA",IF(G66&lt;0,"VENCIDA",IF(G66&lt;=5,"URGENTE",IF(G66&lt;=15,"PRÓXIMA","OK")))))</f>
        <v/>
      </c>
      <c r="I66" s="19" t="n"/>
    </row>
    <row r="67">
      <c r="A67" s="19" t="n"/>
      <c r="B67" s="19" t="n"/>
      <c r="C67" s="19" t="n"/>
      <c r="D67" s="17" t="n"/>
      <c r="E67" s="19" t="n"/>
      <c r="F67" s="19" t="n"/>
      <c r="G67">
        <f>IF(OR(A67="",D67=""),"",IF(E67="Presentada","",D67-Parametros!$B$2))</f>
        <v/>
      </c>
      <c r="H67">
        <f>IF(OR(A67="",D67=""),"",IF(E67="Presentada","CUMPLIDA",IF(G67&lt;0,"VENCIDA",IF(G67&lt;=5,"URGENTE",IF(G67&lt;=15,"PRÓXIMA","OK")))))</f>
        <v/>
      </c>
      <c r="I67" s="19" t="n"/>
    </row>
    <row r="68">
      <c r="A68" s="19" t="n"/>
      <c r="B68" s="19" t="n"/>
      <c r="C68" s="19" t="n"/>
      <c r="D68" s="17" t="n"/>
      <c r="E68" s="19" t="n"/>
      <c r="F68" s="19" t="n"/>
      <c r="G68">
        <f>IF(OR(A68="",D68=""),"",IF(E68="Presentada","",D68-Parametros!$B$2))</f>
        <v/>
      </c>
      <c r="H68">
        <f>IF(OR(A68="",D68=""),"",IF(E68="Presentada","CUMPLIDA",IF(G68&lt;0,"VENCIDA",IF(G68&lt;=5,"URGENTE",IF(G68&lt;=15,"PRÓXIMA","OK")))))</f>
        <v/>
      </c>
      <c r="I68" s="19" t="n"/>
    </row>
    <row r="69">
      <c r="A69" s="19" t="n"/>
      <c r="B69" s="19" t="n"/>
      <c r="C69" s="19" t="n"/>
      <c r="D69" s="17" t="n"/>
      <c r="E69" s="19" t="n"/>
      <c r="F69" s="19" t="n"/>
      <c r="G69">
        <f>IF(OR(A69="",D69=""),"",IF(E69="Presentada","",D69-Parametros!$B$2))</f>
        <v/>
      </c>
      <c r="H69">
        <f>IF(OR(A69="",D69=""),"",IF(E69="Presentada","CUMPLIDA",IF(G69&lt;0,"VENCIDA",IF(G69&lt;=5,"URGENTE",IF(G69&lt;=15,"PRÓXIMA","OK")))))</f>
        <v/>
      </c>
      <c r="I69" s="19" t="n"/>
    </row>
    <row r="70">
      <c r="A70" s="19" t="n"/>
      <c r="B70" s="19" t="n"/>
      <c r="C70" s="19" t="n"/>
      <c r="D70" s="17" t="n"/>
      <c r="E70" s="19" t="n"/>
      <c r="F70" s="19" t="n"/>
      <c r="G70">
        <f>IF(OR(A70="",D70=""),"",IF(E70="Presentada","",D70-Parametros!$B$2))</f>
        <v/>
      </c>
      <c r="H70">
        <f>IF(OR(A70="",D70=""),"",IF(E70="Presentada","CUMPLIDA",IF(G70&lt;0,"VENCIDA",IF(G70&lt;=5,"URGENTE",IF(G70&lt;=15,"PRÓXIMA","OK")))))</f>
        <v/>
      </c>
      <c r="I70" s="19" t="n"/>
    </row>
    <row r="71">
      <c r="A71" s="19" t="n"/>
      <c r="B71" s="19" t="n"/>
      <c r="C71" s="19" t="n"/>
      <c r="D71" s="17" t="n"/>
      <c r="E71" s="19" t="n"/>
      <c r="F71" s="19" t="n"/>
      <c r="G71">
        <f>IF(OR(A71="",D71=""),"",IF(E71="Presentada","",D71-Parametros!$B$2))</f>
        <v/>
      </c>
      <c r="H71">
        <f>IF(OR(A71="",D71=""),"",IF(E71="Presentada","CUMPLIDA",IF(G71&lt;0,"VENCIDA",IF(G71&lt;=5,"URGENTE",IF(G71&lt;=15,"PRÓXIMA","OK")))))</f>
        <v/>
      </c>
      <c r="I71" s="19" t="n"/>
    </row>
    <row r="72">
      <c r="A72" s="19" t="n"/>
      <c r="B72" s="19" t="n"/>
      <c r="C72" s="19" t="n"/>
      <c r="D72" s="17" t="n"/>
      <c r="E72" s="19" t="n"/>
      <c r="F72" s="19" t="n"/>
      <c r="G72">
        <f>IF(OR(A72="",D72=""),"",IF(E72="Presentada","",D72-Parametros!$B$2))</f>
        <v/>
      </c>
      <c r="H72">
        <f>IF(OR(A72="",D72=""),"",IF(E72="Presentada","CUMPLIDA",IF(G72&lt;0,"VENCIDA",IF(G72&lt;=5,"URGENTE",IF(G72&lt;=15,"PRÓXIMA","OK")))))</f>
        <v/>
      </c>
      <c r="I72" s="19" t="n"/>
    </row>
    <row r="73">
      <c r="A73" s="19" t="n"/>
      <c r="B73" s="19" t="n"/>
      <c r="C73" s="19" t="n"/>
      <c r="D73" s="17" t="n"/>
      <c r="E73" s="19" t="n"/>
      <c r="F73" s="19" t="n"/>
      <c r="G73">
        <f>IF(OR(A73="",D73=""),"",IF(E73="Presentada","",D73-Parametros!$B$2))</f>
        <v/>
      </c>
      <c r="H73">
        <f>IF(OR(A73="",D73=""),"",IF(E73="Presentada","CUMPLIDA",IF(G73&lt;0,"VENCIDA",IF(G73&lt;=5,"URGENTE",IF(G73&lt;=15,"PRÓXIMA","OK")))))</f>
        <v/>
      </c>
      <c r="I73" s="19" t="n"/>
    </row>
    <row r="74">
      <c r="A74" s="19" t="n"/>
      <c r="B74" s="19" t="n"/>
      <c r="C74" s="19" t="n"/>
      <c r="D74" s="17" t="n"/>
      <c r="E74" s="19" t="n"/>
      <c r="F74" s="19" t="n"/>
      <c r="G74">
        <f>IF(OR(A74="",D74=""),"",IF(E74="Presentada","",D74-Parametros!$B$2))</f>
        <v/>
      </c>
      <c r="H74">
        <f>IF(OR(A74="",D74=""),"",IF(E74="Presentada","CUMPLIDA",IF(G74&lt;0,"VENCIDA",IF(G74&lt;=5,"URGENTE",IF(G74&lt;=15,"PRÓXIMA","OK")))))</f>
        <v/>
      </c>
      <c r="I74" s="19" t="n"/>
    </row>
    <row r="75">
      <c r="A75" s="19" t="n"/>
      <c r="B75" s="19" t="n"/>
      <c r="C75" s="19" t="n"/>
      <c r="D75" s="17" t="n"/>
      <c r="E75" s="19" t="n"/>
      <c r="F75" s="19" t="n"/>
      <c r="G75">
        <f>IF(OR(A75="",D75=""),"",IF(E75="Presentada","",D75-Parametros!$B$2))</f>
        <v/>
      </c>
      <c r="H75">
        <f>IF(OR(A75="",D75=""),"",IF(E75="Presentada","CUMPLIDA",IF(G75&lt;0,"VENCIDA",IF(G75&lt;=5,"URGENTE",IF(G75&lt;=15,"PRÓXIMA","OK")))))</f>
        <v/>
      </c>
      <c r="I75" s="19" t="n"/>
    </row>
    <row r="76">
      <c r="A76" s="19" t="n"/>
      <c r="B76" s="19" t="n"/>
      <c r="C76" s="19" t="n"/>
      <c r="D76" s="17" t="n"/>
      <c r="E76" s="19" t="n"/>
      <c r="F76" s="19" t="n"/>
      <c r="G76">
        <f>IF(OR(A76="",D76=""),"",IF(E76="Presentada","",D76-Parametros!$B$2))</f>
        <v/>
      </c>
      <c r="H76">
        <f>IF(OR(A76="",D76=""),"",IF(E76="Presentada","CUMPLIDA",IF(G76&lt;0,"VENCIDA",IF(G76&lt;=5,"URGENTE",IF(G76&lt;=15,"PRÓXIMA","OK")))))</f>
        <v/>
      </c>
      <c r="I76" s="19" t="n"/>
    </row>
    <row r="77">
      <c r="A77" s="19" t="n"/>
      <c r="B77" s="19" t="n"/>
      <c r="C77" s="19" t="n"/>
      <c r="D77" s="17" t="n"/>
      <c r="E77" s="19" t="n"/>
      <c r="F77" s="19" t="n"/>
      <c r="G77">
        <f>IF(OR(A77="",D77=""),"",IF(E77="Presentada","",D77-Parametros!$B$2))</f>
        <v/>
      </c>
      <c r="H77">
        <f>IF(OR(A77="",D77=""),"",IF(E77="Presentada","CUMPLIDA",IF(G77&lt;0,"VENCIDA",IF(G77&lt;=5,"URGENTE",IF(G77&lt;=15,"PRÓXIMA","OK")))))</f>
        <v/>
      </c>
      <c r="I77" s="19" t="n"/>
    </row>
    <row r="78">
      <c r="A78" s="19" t="n"/>
      <c r="B78" s="19" t="n"/>
      <c r="C78" s="19" t="n"/>
      <c r="D78" s="17" t="n"/>
      <c r="E78" s="19" t="n"/>
      <c r="F78" s="19" t="n"/>
      <c r="G78">
        <f>IF(OR(A78="",D78=""),"",IF(E78="Presentada","",D78-Parametros!$B$2))</f>
        <v/>
      </c>
      <c r="H78">
        <f>IF(OR(A78="",D78=""),"",IF(E78="Presentada","CUMPLIDA",IF(G78&lt;0,"VENCIDA",IF(G78&lt;=5,"URGENTE",IF(G78&lt;=15,"PRÓXIMA","OK")))))</f>
        <v/>
      </c>
      <c r="I78" s="19" t="n"/>
    </row>
    <row r="79">
      <c r="A79" s="19" t="n"/>
      <c r="B79" s="19" t="n"/>
      <c r="C79" s="19" t="n"/>
      <c r="D79" s="17" t="n"/>
      <c r="E79" s="19" t="n"/>
      <c r="F79" s="19" t="n"/>
      <c r="G79">
        <f>IF(OR(A79="",D79=""),"",IF(E79="Presentada","",D79-Parametros!$B$2))</f>
        <v/>
      </c>
      <c r="H79">
        <f>IF(OR(A79="",D79=""),"",IF(E79="Presentada","CUMPLIDA",IF(G79&lt;0,"VENCIDA",IF(G79&lt;=5,"URGENTE",IF(G79&lt;=15,"PRÓXIMA","OK")))))</f>
        <v/>
      </c>
      <c r="I79" s="19" t="n"/>
    </row>
    <row r="80">
      <c r="A80" s="19" t="n"/>
      <c r="B80" s="19" t="n"/>
      <c r="C80" s="19" t="n"/>
      <c r="D80" s="17" t="n"/>
      <c r="E80" s="19" t="n"/>
      <c r="F80" s="19" t="n"/>
      <c r="G80">
        <f>IF(OR(A80="",D80=""),"",IF(E80="Presentada","",D80-Parametros!$B$2))</f>
        <v/>
      </c>
      <c r="H80">
        <f>IF(OR(A80="",D80=""),"",IF(E80="Presentada","CUMPLIDA",IF(G80&lt;0,"VENCIDA",IF(G80&lt;=5,"URGENTE",IF(G80&lt;=15,"PRÓXIMA","OK")))))</f>
        <v/>
      </c>
      <c r="I80" s="19" t="n"/>
    </row>
    <row r="81">
      <c r="A81" s="19" t="n"/>
      <c r="B81" s="19" t="n"/>
      <c r="C81" s="19" t="n"/>
      <c r="D81" s="17" t="n"/>
      <c r="E81" s="19" t="n"/>
      <c r="F81" s="19" t="n"/>
      <c r="G81">
        <f>IF(OR(A81="",D81=""),"",IF(E81="Presentada","",D81-Parametros!$B$2))</f>
        <v/>
      </c>
      <c r="H81">
        <f>IF(OR(A81="",D81=""),"",IF(E81="Presentada","CUMPLIDA",IF(G81&lt;0,"VENCIDA",IF(G81&lt;=5,"URGENTE",IF(G81&lt;=15,"PRÓXIMA","OK")))))</f>
        <v/>
      </c>
      <c r="I81" s="19" t="n"/>
    </row>
    <row r="82">
      <c r="A82" s="19" t="n"/>
      <c r="B82" s="19" t="n"/>
      <c r="C82" s="19" t="n"/>
      <c r="D82" s="17" t="n"/>
      <c r="E82" s="19" t="n"/>
      <c r="F82" s="19" t="n"/>
      <c r="G82">
        <f>IF(OR(A82="",D82=""),"",IF(E82="Presentada","",D82-Parametros!$B$2))</f>
        <v/>
      </c>
      <c r="H82">
        <f>IF(OR(A82="",D82=""),"",IF(E82="Presentada","CUMPLIDA",IF(G82&lt;0,"VENCIDA",IF(G82&lt;=5,"URGENTE",IF(G82&lt;=15,"PRÓXIMA","OK")))))</f>
        <v/>
      </c>
      <c r="I82" s="19" t="n"/>
    </row>
    <row r="83">
      <c r="A83" s="19" t="n"/>
      <c r="B83" s="19" t="n"/>
      <c r="C83" s="19" t="n"/>
      <c r="D83" s="17" t="n"/>
      <c r="E83" s="19" t="n"/>
      <c r="F83" s="19" t="n"/>
      <c r="G83">
        <f>IF(OR(A83="",D83=""),"",IF(E83="Presentada","",D83-Parametros!$B$2))</f>
        <v/>
      </c>
      <c r="H83">
        <f>IF(OR(A83="",D83=""),"",IF(E83="Presentada","CUMPLIDA",IF(G83&lt;0,"VENCIDA",IF(G83&lt;=5,"URGENTE",IF(G83&lt;=15,"PRÓXIMA","OK")))))</f>
        <v/>
      </c>
      <c r="I83" s="19" t="n"/>
    </row>
    <row r="84">
      <c r="A84" s="19" t="n"/>
      <c r="B84" s="19" t="n"/>
      <c r="C84" s="19" t="n"/>
      <c r="D84" s="17" t="n"/>
      <c r="E84" s="19" t="n"/>
      <c r="F84" s="19" t="n"/>
      <c r="G84">
        <f>IF(OR(A84="",D84=""),"",IF(E84="Presentada","",D84-Parametros!$B$2))</f>
        <v/>
      </c>
      <c r="H84">
        <f>IF(OR(A84="",D84=""),"",IF(E84="Presentada","CUMPLIDA",IF(G84&lt;0,"VENCIDA",IF(G84&lt;=5,"URGENTE",IF(G84&lt;=15,"PRÓXIMA","OK")))))</f>
        <v/>
      </c>
      <c r="I84" s="19" t="n"/>
    </row>
    <row r="85">
      <c r="A85" s="19" t="n"/>
      <c r="B85" s="19" t="n"/>
      <c r="C85" s="19" t="n"/>
      <c r="D85" s="17" t="n"/>
      <c r="E85" s="19" t="n"/>
      <c r="F85" s="19" t="n"/>
      <c r="G85">
        <f>IF(OR(A85="",D85=""),"",IF(E85="Presentada","",D85-Parametros!$B$2))</f>
        <v/>
      </c>
      <c r="H85">
        <f>IF(OR(A85="",D85=""),"",IF(E85="Presentada","CUMPLIDA",IF(G85&lt;0,"VENCIDA",IF(G85&lt;=5,"URGENTE",IF(G85&lt;=15,"PRÓXIMA","OK")))))</f>
        <v/>
      </c>
      <c r="I85" s="19" t="n"/>
    </row>
    <row r="86">
      <c r="A86" s="19" t="n"/>
      <c r="B86" s="19" t="n"/>
      <c r="C86" s="19" t="n"/>
      <c r="D86" s="17" t="n"/>
      <c r="E86" s="19" t="n"/>
      <c r="F86" s="19" t="n"/>
      <c r="G86">
        <f>IF(OR(A86="",D86=""),"",IF(E86="Presentada","",D86-Parametros!$B$2))</f>
        <v/>
      </c>
      <c r="H86">
        <f>IF(OR(A86="",D86=""),"",IF(E86="Presentada","CUMPLIDA",IF(G86&lt;0,"VENCIDA",IF(G86&lt;=5,"URGENTE",IF(G86&lt;=15,"PRÓXIMA","OK")))))</f>
        <v/>
      </c>
      <c r="I86" s="19" t="n"/>
    </row>
    <row r="87">
      <c r="A87" s="19" t="n"/>
      <c r="B87" s="19" t="n"/>
      <c r="C87" s="19" t="n"/>
      <c r="D87" s="17" t="n"/>
      <c r="E87" s="19" t="n"/>
      <c r="F87" s="19" t="n"/>
      <c r="G87">
        <f>IF(OR(A87="",D87=""),"",IF(E87="Presentada","",D87-Parametros!$B$2))</f>
        <v/>
      </c>
      <c r="H87">
        <f>IF(OR(A87="",D87=""),"",IF(E87="Presentada","CUMPLIDA",IF(G87&lt;0,"VENCIDA",IF(G87&lt;=5,"URGENTE",IF(G87&lt;=15,"PRÓXIMA","OK")))))</f>
        <v/>
      </c>
      <c r="I87" s="19" t="n"/>
    </row>
    <row r="88">
      <c r="A88" s="19" t="n"/>
      <c r="B88" s="19" t="n"/>
      <c r="C88" s="19" t="n"/>
      <c r="D88" s="17" t="n"/>
      <c r="E88" s="19" t="n"/>
      <c r="F88" s="19" t="n"/>
      <c r="G88">
        <f>IF(OR(A88="",D88=""),"",IF(E88="Presentada","",D88-Parametros!$B$2))</f>
        <v/>
      </c>
      <c r="H88">
        <f>IF(OR(A88="",D88=""),"",IF(E88="Presentada","CUMPLIDA",IF(G88&lt;0,"VENCIDA",IF(G88&lt;=5,"URGENTE",IF(G88&lt;=15,"PRÓXIMA","OK")))))</f>
        <v/>
      </c>
      <c r="I88" s="19" t="n"/>
    </row>
    <row r="89">
      <c r="A89" s="19" t="n"/>
      <c r="B89" s="19" t="n"/>
      <c r="C89" s="19" t="n"/>
      <c r="D89" s="17" t="n"/>
      <c r="E89" s="19" t="n"/>
      <c r="F89" s="19" t="n"/>
      <c r="G89">
        <f>IF(OR(A89="",D89=""),"",IF(E89="Presentada","",D89-Parametros!$B$2))</f>
        <v/>
      </c>
      <c r="H89">
        <f>IF(OR(A89="",D89=""),"",IF(E89="Presentada","CUMPLIDA",IF(G89&lt;0,"VENCIDA",IF(G89&lt;=5,"URGENTE",IF(G89&lt;=15,"PRÓXIMA","OK")))))</f>
        <v/>
      </c>
      <c r="I89" s="19" t="n"/>
    </row>
    <row r="90">
      <c r="A90" s="19" t="n"/>
      <c r="B90" s="19" t="n"/>
      <c r="C90" s="19" t="n"/>
      <c r="D90" s="17" t="n"/>
      <c r="E90" s="19" t="n"/>
      <c r="F90" s="19" t="n"/>
      <c r="G90">
        <f>IF(OR(A90="",D90=""),"",IF(E90="Presentada","",D90-Parametros!$B$2))</f>
        <v/>
      </c>
      <c r="H90">
        <f>IF(OR(A90="",D90=""),"",IF(E90="Presentada","CUMPLIDA",IF(G90&lt;0,"VENCIDA",IF(G90&lt;=5,"URGENTE",IF(G90&lt;=15,"PRÓXIMA","OK")))))</f>
        <v/>
      </c>
      <c r="I90" s="19" t="n"/>
    </row>
    <row r="91">
      <c r="A91" s="19" t="n"/>
      <c r="B91" s="19" t="n"/>
      <c r="C91" s="19" t="n"/>
      <c r="D91" s="17" t="n"/>
      <c r="E91" s="19" t="n"/>
      <c r="F91" s="19" t="n"/>
      <c r="G91">
        <f>IF(OR(A91="",D91=""),"",IF(E91="Presentada","",D91-Parametros!$B$2))</f>
        <v/>
      </c>
      <c r="H91">
        <f>IF(OR(A91="",D91=""),"",IF(E91="Presentada","CUMPLIDA",IF(G91&lt;0,"VENCIDA",IF(G91&lt;=5,"URGENTE",IF(G91&lt;=15,"PRÓXIMA","OK")))))</f>
        <v/>
      </c>
      <c r="I91" s="19" t="n"/>
    </row>
    <row r="92">
      <c r="A92" s="19" t="n"/>
      <c r="B92" s="19" t="n"/>
      <c r="C92" s="19" t="n"/>
      <c r="D92" s="17" t="n"/>
      <c r="E92" s="19" t="n"/>
      <c r="F92" s="19" t="n"/>
      <c r="G92">
        <f>IF(OR(A92="",D92=""),"",IF(E92="Presentada","",D92-Parametros!$B$2))</f>
        <v/>
      </c>
      <c r="H92">
        <f>IF(OR(A92="",D92=""),"",IF(E92="Presentada","CUMPLIDA",IF(G92&lt;0,"VENCIDA",IF(G92&lt;=5,"URGENTE",IF(G92&lt;=15,"PRÓXIMA","OK")))))</f>
        <v/>
      </c>
      <c r="I92" s="19" t="n"/>
    </row>
    <row r="93">
      <c r="A93" s="19" t="n"/>
      <c r="B93" s="19" t="n"/>
      <c r="C93" s="19" t="n"/>
      <c r="D93" s="17" t="n"/>
      <c r="E93" s="19" t="n"/>
      <c r="F93" s="19" t="n"/>
      <c r="G93">
        <f>IF(OR(A93="",D93=""),"",IF(E93="Presentada","",D93-Parametros!$B$2))</f>
        <v/>
      </c>
      <c r="H93">
        <f>IF(OR(A93="",D93=""),"",IF(E93="Presentada","CUMPLIDA",IF(G93&lt;0,"VENCIDA",IF(G93&lt;=5,"URGENTE",IF(G93&lt;=15,"PRÓXIMA","OK")))))</f>
        <v/>
      </c>
      <c r="I93" s="19" t="n"/>
    </row>
    <row r="94">
      <c r="A94" s="19" t="n"/>
      <c r="B94" s="19" t="n"/>
      <c r="C94" s="19" t="n"/>
      <c r="D94" s="17" t="n"/>
      <c r="E94" s="19" t="n"/>
      <c r="F94" s="19" t="n"/>
      <c r="G94">
        <f>IF(OR(A94="",D94=""),"",IF(E94="Presentada","",D94-Parametros!$B$2))</f>
        <v/>
      </c>
      <c r="H94">
        <f>IF(OR(A94="",D94=""),"",IF(E94="Presentada","CUMPLIDA",IF(G94&lt;0,"VENCIDA",IF(G94&lt;=5,"URGENTE",IF(G94&lt;=15,"PRÓXIMA","OK")))))</f>
        <v/>
      </c>
      <c r="I94" s="19" t="n"/>
    </row>
    <row r="95">
      <c r="A95" s="19" t="n"/>
      <c r="B95" s="19" t="n"/>
      <c r="C95" s="19" t="n"/>
      <c r="D95" s="17" t="n"/>
      <c r="E95" s="19" t="n"/>
      <c r="F95" s="19" t="n"/>
      <c r="G95">
        <f>IF(OR(A95="",D95=""),"",IF(E95="Presentada","",D95-Parametros!$B$2))</f>
        <v/>
      </c>
      <c r="H95">
        <f>IF(OR(A95="",D95=""),"",IF(E95="Presentada","CUMPLIDA",IF(G95&lt;0,"VENCIDA",IF(G95&lt;=5,"URGENTE",IF(G95&lt;=15,"PRÓXIMA","OK")))))</f>
        <v/>
      </c>
      <c r="I95" s="19" t="n"/>
    </row>
    <row r="96">
      <c r="A96" s="19" t="n"/>
      <c r="B96" s="19" t="n"/>
      <c r="C96" s="19" t="n"/>
      <c r="D96" s="17" t="n"/>
      <c r="E96" s="19" t="n"/>
      <c r="F96" s="19" t="n"/>
      <c r="G96">
        <f>IF(OR(A96="",D96=""),"",IF(E96="Presentada","",D96-Parametros!$B$2))</f>
        <v/>
      </c>
      <c r="H96">
        <f>IF(OR(A96="",D96=""),"",IF(E96="Presentada","CUMPLIDA",IF(G96&lt;0,"VENCIDA",IF(G96&lt;=5,"URGENTE",IF(G96&lt;=15,"PRÓXIMA","OK")))))</f>
        <v/>
      </c>
      <c r="I96" s="19" t="n"/>
    </row>
    <row r="97">
      <c r="A97" s="19" t="n"/>
      <c r="B97" s="19" t="n"/>
      <c r="C97" s="19" t="n"/>
      <c r="D97" s="17" t="n"/>
      <c r="E97" s="19" t="n"/>
      <c r="F97" s="19" t="n"/>
      <c r="G97">
        <f>IF(OR(A97="",D97=""),"",IF(E97="Presentada","",D97-Parametros!$B$2))</f>
        <v/>
      </c>
      <c r="H97">
        <f>IF(OR(A97="",D97=""),"",IF(E97="Presentada","CUMPLIDA",IF(G97&lt;0,"VENCIDA",IF(G97&lt;=5,"URGENTE",IF(G97&lt;=15,"PRÓXIMA","OK")))))</f>
        <v/>
      </c>
      <c r="I97" s="19" t="n"/>
    </row>
    <row r="98">
      <c r="A98" s="19" t="n"/>
      <c r="B98" s="19" t="n"/>
      <c r="C98" s="19" t="n"/>
      <c r="D98" s="17" t="n"/>
      <c r="E98" s="19" t="n"/>
      <c r="F98" s="19" t="n"/>
      <c r="G98">
        <f>IF(OR(A98="",D98=""),"",IF(E98="Presentada","",D98-Parametros!$B$2))</f>
        <v/>
      </c>
      <c r="H98">
        <f>IF(OR(A98="",D98=""),"",IF(E98="Presentada","CUMPLIDA",IF(G98&lt;0,"VENCIDA",IF(G98&lt;=5,"URGENTE",IF(G98&lt;=15,"PRÓXIMA","OK")))))</f>
        <v/>
      </c>
      <c r="I98" s="19" t="n"/>
    </row>
    <row r="99">
      <c r="A99" s="19" t="n"/>
      <c r="B99" s="19" t="n"/>
      <c r="C99" s="19" t="n"/>
      <c r="D99" s="17" t="n"/>
      <c r="E99" s="19" t="n"/>
      <c r="F99" s="19" t="n"/>
      <c r="G99">
        <f>IF(OR(A99="",D99=""),"",IF(E99="Presentada","",D99-Parametros!$B$2))</f>
        <v/>
      </c>
      <c r="H99">
        <f>IF(OR(A99="",D99=""),"",IF(E99="Presentada","CUMPLIDA",IF(G99&lt;0,"VENCIDA",IF(G99&lt;=5,"URGENTE",IF(G99&lt;=15,"PRÓXIMA","OK")))))</f>
        <v/>
      </c>
      <c r="I99" s="19" t="n"/>
    </row>
    <row r="100">
      <c r="A100" s="19" t="n"/>
      <c r="B100" s="19" t="n"/>
      <c r="C100" s="19" t="n"/>
      <c r="D100" s="17" t="n"/>
      <c r="E100" s="19" t="n"/>
      <c r="F100" s="19" t="n"/>
      <c r="G100">
        <f>IF(OR(A100="",D100=""),"",IF(E100="Presentada","",D100-Parametros!$B$2))</f>
        <v/>
      </c>
      <c r="H100">
        <f>IF(OR(A100="",D100=""),"",IF(E100="Presentada","CUMPLIDA",IF(G100&lt;0,"VENCIDA",IF(G100&lt;=5,"URGENTE",IF(G100&lt;=15,"PRÓXIMA","OK")))))</f>
        <v/>
      </c>
      <c r="I100" s="19" t="n"/>
    </row>
    <row r="101">
      <c r="A101" s="19" t="n"/>
      <c r="B101" s="19" t="n"/>
      <c r="C101" s="19" t="n"/>
      <c r="D101" s="17" t="n"/>
      <c r="E101" s="19" t="n"/>
      <c r="F101" s="19" t="n"/>
      <c r="G101">
        <f>IF(OR(A101="",D101=""),"",IF(E101="Presentada","",D101-Parametros!$B$2))</f>
        <v/>
      </c>
      <c r="H101">
        <f>IF(OR(A101="",D101=""),"",IF(E101="Presentada","CUMPLIDA",IF(G101&lt;0,"VENCIDA",IF(G101&lt;=5,"URGENTE",IF(G101&lt;=15,"PRÓXIMA","OK")))))</f>
        <v/>
      </c>
      <c r="I101" s="19" t="n"/>
    </row>
    <row r="102">
      <c r="A102" s="19" t="n"/>
      <c r="B102" s="19" t="n"/>
      <c r="C102" s="19" t="n"/>
      <c r="D102" s="17" t="n"/>
      <c r="E102" s="19" t="n"/>
      <c r="F102" s="19" t="n"/>
      <c r="G102">
        <f>IF(OR(A102="",D102=""),"",IF(E102="Presentada","",D102-Parametros!$B$2))</f>
        <v/>
      </c>
      <c r="H102">
        <f>IF(OR(A102="",D102=""),"",IF(E102="Presentada","CUMPLIDA",IF(G102&lt;0,"VENCIDA",IF(G102&lt;=5,"URGENTE",IF(G102&lt;=15,"PRÓXIMA","OK")))))</f>
        <v/>
      </c>
      <c r="I102" s="19" t="n"/>
    </row>
    <row r="103">
      <c r="A103" s="19" t="n"/>
      <c r="B103" s="19" t="n"/>
      <c r="C103" s="19" t="n"/>
      <c r="D103" s="17" t="n"/>
      <c r="E103" s="19" t="n"/>
      <c r="F103" s="19" t="n"/>
      <c r="G103">
        <f>IF(OR(A103="",D103=""),"",IF(E103="Presentada","",D103-Parametros!$B$2))</f>
        <v/>
      </c>
      <c r="H103">
        <f>IF(OR(A103="",D103=""),"",IF(E103="Presentada","CUMPLIDA",IF(G103&lt;0,"VENCIDA",IF(G103&lt;=5,"URGENTE",IF(G103&lt;=15,"PRÓXIMA","OK")))))</f>
        <v/>
      </c>
      <c r="I103" s="19" t="n"/>
    </row>
    <row r="104">
      <c r="A104" s="19" t="n"/>
      <c r="B104" s="19" t="n"/>
      <c r="C104" s="19" t="n"/>
      <c r="D104" s="17" t="n"/>
      <c r="E104" s="19" t="n"/>
      <c r="F104" s="19" t="n"/>
      <c r="G104">
        <f>IF(OR(A104="",D104=""),"",IF(E104="Presentada","",D104-Parametros!$B$2))</f>
        <v/>
      </c>
      <c r="H104">
        <f>IF(OR(A104="",D104=""),"",IF(E104="Presentada","CUMPLIDA",IF(G104&lt;0,"VENCIDA",IF(G104&lt;=5,"URGENTE",IF(G104&lt;=15,"PRÓXIMA","OK")))))</f>
        <v/>
      </c>
      <c r="I104" s="19" t="n"/>
    </row>
    <row r="105">
      <c r="A105" s="19" t="n"/>
      <c r="B105" s="19" t="n"/>
      <c r="C105" s="19" t="n"/>
      <c r="D105" s="17" t="n"/>
      <c r="E105" s="19" t="n"/>
      <c r="F105" s="19" t="n"/>
      <c r="G105">
        <f>IF(OR(A105="",D105=""),"",IF(E105="Presentada","",D105-Parametros!$B$2))</f>
        <v/>
      </c>
      <c r="H105">
        <f>IF(OR(A105="",D105=""),"",IF(E105="Presentada","CUMPLIDA",IF(G105&lt;0,"VENCIDA",IF(G105&lt;=5,"URGENTE",IF(G105&lt;=15,"PRÓXIMA","OK")))))</f>
        <v/>
      </c>
      <c r="I105" s="19" t="n"/>
    </row>
    <row r="106">
      <c r="A106" s="19" t="n"/>
      <c r="B106" s="19" t="n"/>
      <c r="C106" s="19" t="n"/>
      <c r="D106" s="17" t="n"/>
      <c r="E106" s="19" t="n"/>
      <c r="F106" s="19" t="n"/>
      <c r="G106">
        <f>IF(OR(A106="",D106=""),"",IF(E106="Presentada","",D106-Parametros!$B$2))</f>
        <v/>
      </c>
      <c r="H106">
        <f>IF(OR(A106="",D106=""),"",IF(E106="Presentada","CUMPLIDA",IF(G106&lt;0,"VENCIDA",IF(G106&lt;=5,"URGENTE",IF(G106&lt;=15,"PRÓXIMA","OK")))))</f>
        <v/>
      </c>
      <c r="I106" s="19" t="n"/>
    </row>
    <row r="107">
      <c r="A107" s="19" t="n"/>
      <c r="B107" s="19" t="n"/>
      <c r="C107" s="19" t="n"/>
      <c r="D107" s="17" t="n"/>
      <c r="E107" s="19" t="n"/>
      <c r="F107" s="19" t="n"/>
      <c r="G107">
        <f>IF(OR(A107="",D107=""),"",IF(E107="Presentada","",D107-Parametros!$B$2))</f>
        <v/>
      </c>
      <c r="H107">
        <f>IF(OR(A107="",D107=""),"",IF(E107="Presentada","CUMPLIDA",IF(G107&lt;0,"VENCIDA",IF(G107&lt;=5,"URGENTE",IF(G107&lt;=15,"PRÓXIMA","OK")))))</f>
        <v/>
      </c>
      <c r="I107" s="19" t="n"/>
    </row>
    <row r="108">
      <c r="A108" s="19" t="n"/>
      <c r="B108" s="19" t="n"/>
      <c r="C108" s="19" t="n"/>
      <c r="D108" s="17" t="n"/>
      <c r="E108" s="19" t="n"/>
      <c r="F108" s="19" t="n"/>
      <c r="G108">
        <f>IF(OR(A108="",D108=""),"",IF(E108="Presentada","",D108-Parametros!$B$2))</f>
        <v/>
      </c>
      <c r="H108">
        <f>IF(OR(A108="",D108=""),"",IF(E108="Presentada","CUMPLIDA",IF(G108&lt;0,"VENCIDA",IF(G108&lt;=5,"URGENTE",IF(G108&lt;=15,"PRÓXIMA","OK")))))</f>
        <v/>
      </c>
      <c r="I108" s="19" t="n"/>
    </row>
    <row r="109">
      <c r="A109" s="19" t="n"/>
      <c r="B109" s="19" t="n"/>
      <c r="C109" s="19" t="n"/>
      <c r="D109" s="17" t="n"/>
      <c r="E109" s="19" t="n"/>
      <c r="F109" s="19" t="n"/>
      <c r="G109">
        <f>IF(OR(A109="",D109=""),"",IF(E109="Presentada","",D109-Parametros!$B$2))</f>
        <v/>
      </c>
      <c r="H109">
        <f>IF(OR(A109="",D109=""),"",IF(E109="Presentada","CUMPLIDA",IF(G109&lt;0,"VENCIDA",IF(G109&lt;=5,"URGENTE",IF(G109&lt;=15,"PRÓXIMA","OK")))))</f>
        <v/>
      </c>
      <c r="I109" s="19" t="n"/>
    </row>
    <row r="110">
      <c r="A110" s="19" t="n"/>
      <c r="B110" s="19" t="n"/>
      <c r="C110" s="19" t="n"/>
      <c r="D110" s="17" t="n"/>
      <c r="E110" s="19" t="n"/>
      <c r="F110" s="19" t="n"/>
      <c r="G110">
        <f>IF(OR(A110="",D110=""),"",IF(E110="Presentada","",D110-Parametros!$B$2))</f>
        <v/>
      </c>
      <c r="H110">
        <f>IF(OR(A110="",D110=""),"",IF(E110="Presentada","CUMPLIDA",IF(G110&lt;0,"VENCIDA",IF(G110&lt;=5,"URGENTE",IF(G110&lt;=15,"PRÓXIMA","OK")))))</f>
        <v/>
      </c>
      <c r="I110" s="19" t="n"/>
    </row>
    <row r="111">
      <c r="A111" s="19" t="n"/>
      <c r="B111" s="19" t="n"/>
      <c r="C111" s="19" t="n"/>
      <c r="D111" s="17" t="n"/>
      <c r="E111" s="19" t="n"/>
      <c r="F111" s="19" t="n"/>
      <c r="G111">
        <f>IF(OR(A111="",D111=""),"",IF(E111="Presentada","",D111-Parametros!$B$2))</f>
        <v/>
      </c>
      <c r="H111">
        <f>IF(OR(A111="",D111=""),"",IF(E111="Presentada","CUMPLIDA",IF(G111&lt;0,"VENCIDA",IF(G111&lt;=5,"URGENTE",IF(G111&lt;=15,"PRÓXIMA","OK")))))</f>
        <v/>
      </c>
      <c r="I111" s="19" t="n"/>
    </row>
    <row r="112">
      <c r="A112" s="19" t="n"/>
      <c r="B112" s="19" t="n"/>
      <c r="C112" s="19" t="n"/>
      <c r="D112" s="17" t="n"/>
      <c r="E112" s="19" t="n"/>
      <c r="F112" s="19" t="n"/>
      <c r="G112">
        <f>IF(OR(A112="",D112=""),"",IF(E112="Presentada","",D112-Parametros!$B$2))</f>
        <v/>
      </c>
      <c r="H112">
        <f>IF(OR(A112="",D112=""),"",IF(E112="Presentada","CUMPLIDA",IF(G112&lt;0,"VENCIDA",IF(G112&lt;=5,"URGENTE",IF(G112&lt;=15,"PRÓXIMA","OK")))))</f>
        <v/>
      </c>
      <c r="I112" s="19" t="n"/>
    </row>
    <row r="113">
      <c r="A113" s="19" t="n"/>
      <c r="B113" s="19" t="n"/>
      <c r="C113" s="19" t="n"/>
      <c r="D113" s="17" t="n"/>
      <c r="E113" s="19" t="n"/>
      <c r="F113" s="19" t="n"/>
      <c r="G113">
        <f>IF(OR(A113="",D113=""),"",IF(E113="Presentada","",D113-Parametros!$B$2))</f>
        <v/>
      </c>
      <c r="H113">
        <f>IF(OR(A113="",D113=""),"",IF(E113="Presentada","CUMPLIDA",IF(G113&lt;0,"VENCIDA",IF(G113&lt;=5,"URGENTE",IF(G113&lt;=15,"PRÓXIMA","OK")))))</f>
        <v/>
      </c>
      <c r="I113" s="19" t="n"/>
    </row>
    <row r="114">
      <c r="A114" s="19" t="n"/>
      <c r="B114" s="19" t="n"/>
      <c r="C114" s="19" t="n"/>
      <c r="D114" s="17" t="n"/>
      <c r="E114" s="19" t="n"/>
      <c r="F114" s="19" t="n"/>
      <c r="G114">
        <f>IF(OR(A114="",D114=""),"",IF(E114="Presentada","",D114-Parametros!$B$2))</f>
        <v/>
      </c>
      <c r="H114">
        <f>IF(OR(A114="",D114=""),"",IF(E114="Presentada","CUMPLIDA",IF(G114&lt;0,"VENCIDA",IF(G114&lt;=5,"URGENTE",IF(G114&lt;=15,"PRÓXIMA","OK")))))</f>
        <v/>
      </c>
      <c r="I114" s="19" t="n"/>
    </row>
    <row r="115">
      <c r="A115" s="19" t="n"/>
      <c r="B115" s="19" t="n"/>
      <c r="C115" s="19" t="n"/>
      <c r="D115" s="17" t="n"/>
      <c r="E115" s="19" t="n"/>
      <c r="F115" s="19" t="n"/>
      <c r="G115">
        <f>IF(OR(A115="",D115=""),"",IF(E115="Presentada","",D115-Parametros!$B$2))</f>
        <v/>
      </c>
      <c r="H115">
        <f>IF(OR(A115="",D115=""),"",IF(E115="Presentada","CUMPLIDA",IF(G115&lt;0,"VENCIDA",IF(G115&lt;=5,"URGENTE",IF(G115&lt;=15,"PRÓXIMA","OK")))))</f>
        <v/>
      </c>
      <c r="I115" s="19" t="n"/>
    </row>
    <row r="116">
      <c r="A116" s="19" t="n"/>
      <c r="B116" s="19" t="n"/>
      <c r="C116" s="19" t="n"/>
      <c r="D116" s="17" t="n"/>
      <c r="E116" s="19" t="n"/>
      <c r="F116" s="19" t="n"/>
      <c r="G116">
        <f>IF(OR(A116="",D116=""),"",IF(E116="Presentada","",D116-Parametros!$B$2))</f>
        <v/>
      </c>
      <c r="H116">
        <f>IF(OR(A116="",D116=""),"",IF(E116="Presentada","CUMPLIDA",IF(G116&lt;0,"VENCIDA",IF(G116&lt;=5,"URGENTE",IF(G116&lt;=15,"PRÓXIMA","OK")))))</f>
        <v/>
      </c>
      <c r="I116" s="19" t="n"/>
    </row>
    <row r="117">
      <c r="A117" s="19" t="n"/>
      <c r="B117" s="19" t="n"/>
      <c r="C117" s="19" t="n"/>
      <c r="D117" s="17" t="n"/>
      <c r="E117" s="19" t="n"/>
      <c r="F117" s="19" t="n"/>
      <c r="G117">
        <f>IF(OR(A117="",D117=""),"",IF(E117="Presentada","",D117-Parametros!$B$2))</f>
        <v/>
      </c>
      <c r="H117">
        <f>IF(OR(A117="",D117=""),"",IF(E117="Presentada","CUMPLIDA",IF(G117&lt;0,"VENCIDA",IF(G117&lt;=5,"URGENTE",IF(G117&lt;=15,"PRÓXIMA","OK")))))</f>
        <v/>
      </c>
      <c r="I117" s="19" t="n"/>
    </row>
    <row r="118">
      <c r="A118" s="19" t="n"/>
      <c r="B118" s="19" t="n"/>
      <c r="C118" s="19" t="n"/>
      <c r="D118" s="17" t="n"/>
      <c r="E118" s="19" t="n"/>
      <c r="F118" s="19" t="n"/>
      <c r="G118">
        <f>IF(OR(A118="",D118=""),"",IF(E118="Presentada","",D118-Parametros!$B$2))</f>
        <v/>
      </c>
      <c r="H118">
        <f>IF(OR(A118="",D118=""),"",IF(E118="Presentada","CUMPLIDA",IF(G118&lt;0,"VENCIDA",IF(G118&lt;=5,"URGENTE",IF(G118&lt;=15,"PRÓXIMA","OK")))))</f>
        <v/>
      </c>
      <c r="I118" s="19" t="n"/>
    </row>
    <row r="119">
      <c r="A119" s="19" t="n"/>
      <c r="B119" s="19" t="n"/>
      <c r="C119" s="19" t="n"/>
      <c r="D119" s="17" t="n"/>
      <c r="E119" s="19" t="n"/>
      <c r="F119" s="19" t="n"/>
      <c r="G119">
        <f>IF(OR(A119="",D119=""),"",IF(E119="Presentada","",D119-Parametros!$B$2))</f>
        <v/>
      </c>
      <c r="H119">
        <f>IF(OR(A119="",D119=""),"",IF(E119="Presentada","CUMPLIDA",IF(G119&lt;0,"VENCIDA",IF(G119&lt;=5,"URGENTE",IF(G119&lt;=15,"PRÓXIMA","OK")))))</f>
        <v/>
      </c>
      <c r="I119" s="19" t="n"/>
    </row>
    <row r="120">
      <c r="A120" s="19" t="n"/>
      <c r="B120" s="19" t="n"/>
      <c r="C120" s="19" t="n"/>
      <c r="D120" s="17" t="n"/>
      <c r="E120" s="19" t="n"/>
      <c r="F120" s="19" t="n"/>
      <c r="G120">
        <f>IF(OR(A120="",D120=""),"",IF(E120="Presentada","",D120-Parametros!$B$2))</f>
        <v/>
      </c>
      <c r="H120">
        <f>IF(OR(A120="",D120=""),"",IF(E120="Presentada","CUMPLIDA",IF(G120&lt;0,"VENCIDA",IF(G120&lt;=5,"URGENTE",IF(G120&lt;=15,"PRÓXIMA","OK")))))</f>
        <v/>
      </c>
      <c r="I120" s="19" t="n"/>
    </row>
    <row r="121">
      <c r="A121" s="19" t="n"/>
      <c r="B121" s="19" t="n"/>
      <c r="C121" s="19" t="n"/>
      <c r="D121" s="17" t="n"/>
      <c r="E121" s="19" t="n"/>
      <c r="F121" s="19" t="n"/>
      <c r="G121">
        <f>IF(OR(A121="",D121=""),"",IF(E121="Presentada","",D121-Parametros!$B$2))</f>
        <v/>
      </c>
      <c r="H121">
        <f>IF(OR(A121="",D121=""),"",IF(E121="Presentada","CUMPLIDA",IF(G121&lt;0,"VENCIDA",IF(G121&lt;=5,"URGENTE",IF(G121&lt;=15,"PRÓXIMA","OK")))))</f>
        <v/>
      </c>
      <c r="I121" s="19" t="n"/>
    </row>
    <row r="122">
      <c r="A122" s="19" t="n"/>
      <c r="B122" s="19" t="n"/>
      <c r="C122" s="19" t="n"/>
      <c r="D122" s="17" t="n"/>
      <c r="E122" s="19" t="n"/>
      <c r="F122" s="19" t="n"/>
      <c r="G122">
        <f>IF(OR(A122="",D122=""),"",IF(E122="Presentada","",D122-Parametros!$B$2))</f>
        <v/>
      </c>
      <c r="H122">
        <f>IF(OR(A122="",D122=""),"",IF(E122="Presentada","CUMPLIDA",IF(G122&lt;0,"VENCIDA",IF(G122&lt;=5,"URGENTE",IF(G122&lt;=15,"PRÓXIMA","OK")))))</f>
        <v/>
      </c>
      <c r="I122" s="19" t="n"/>
    </row>
    <row r="123">
      <c r="A123" s="19" t="n"/>
      <c r="B123" s="19" t="n"/>
      <c r="C123" s="19" t="n"/>
      <c r="D123" s="17" t="n"/>
      <c r="E123" s="19" t="n"/>
      <c r="F123" s="19" t="n"/>
      <c r="G123">
        <f>IF(OR(A123="",D123=""),"",IF(E123="Presentada","",D123-Parametros!$B$2))</f>
        <v/>
      </c>
      <c r="H123">
        <f>IF(OR(A123="",D123=""),"",IF(E123="Presentada","CUMPLIDA",IF(G123&lt;0,"VENCIDA",IF(G123&lt;=5,"URGENTE",IF(G123&lt;=15,"PRÓXIMA","OK")))))</f>
        <v/>
      </c>
      <c r="I123" s="19" t="n"/>
    </row>
    <row r="124">
      <c r="A124" s="19" t="n"/>
      <c r="B124" s="19" t="n"/>
      <c r="C124" s="19" t="n"/>
      <c r="D124" s="17" t="n"/>
      <c r="E124" s="19" t="n"/>
      <c r="F124" s="19" t="n"/>
      <c r="G124">
        <f>IF(OR(A124="",D124=""),"",IF(E124="Presentada","",D124-Parametros!$B$2))</f>
        <v/>
      </c>
      <c r="H124">
        <f>IF(OR(A124="",D124=""),"",IF(E124="Presentada","CUMPLIDA",IF(G124&lt;0,"VENCIDA",IF(G124&lt;=5,"URGENTE",IF(G124&lt;=15,"PRÓXIMA","OK")))))</f>
        <v/>
      </c>
      <c r="I124" s="19" t="n"/>
    </row>
    <row r="125">
      <c r="A125" s="19" t="n"/>
      <c r="B125" s="19" t="n"/>
      <c r="C125" s="19" t="n"/>
      <c r="D125" s="17" t="n"/>
      <c r="E125" s="19" t="n"/>
      <c r="F125" s="19" t="n"/>
      <c r="G125">
        <f>IF(OR(A125="",D125=""),"",IF(E125="Presentada","",D125-Parametros!$B$2))</f>
        <v/>
      </c>
      <c r="H125">
        <f>IF(OR(A125="",D125=""),"",IF(E125="Presentada","CUMPLIDA",IF(G125&lt;0,"VENCIDA",IF(G125&lt;=5,"URGENTE",IF(G125&lt;=15,"PRÓXIMA","OK")))))</f>
        <v/>
      </c>
      <c r="I125" s="19" t="n"/>
    </row>
    <row r="126">
      <c r="A126" s="19" t="n"/>
      <c r="B126" s="19" t="n"/>
      <c r="C126" s="19" t="n"/>
      <c r="D126" s="17" t="n"/>
      <c r="E126" s="19" t="n"/>
      <c r="F126" s="19" t="n"/>
      <c r="G126">
        <f>IF(OR(A126="",D126=""),"",IF(E126="Presentada","",D126-Parametros!$B$2))</f>
        <v/>
      </c>
      <c r="H126">
        <f>IF(OR(A126="",D126=""),"",IF(E126="Presentada","CUMPLIDA",IF(G126&lt;0,"VENCIDA",IF(G126&lt;=5,"URGENTE",IF(G126&lt;=15,"PRÓXIMA","OK")))))</f>
        <v/>
      </c>
      <c r="I126" s="19" t="n"/>
    </row>
    <row r="127">
      <c r="A127" s="19" t="n"/>
      <c r="B127" s="19" t="n"/>
      <c r="C127" s="19" t="n"/>
      <c r="D127" s="17" t="n"/>
      <c r="E127" s="19" t="n"/>
      <c r="F127" s="19" t="n"/>
      <c r="G127">
        <f>IF(OR(A127="",D127=""),"",IF(E127="Presentada","",D127-Parametros!$B$2))</f>
        <v/>
      </c>
      <c r="H127">
        <f>IF(OR(A127="",D127=""),"",IF(E127="Presentada","CUMPLIDA",IF(G127&lt;0,"VENCIDA",IF(G127&lt;=5,"URGENTE",IF(G127&lt;=15,"PRÓXIMA","OK")))))</f>
        <v/>
      </c>
      <c r="I127" s="19" t="n"/>
    </row>
    <row r="128">
      <c r="A128" s="19" t="n"/>
      <c r="B128" s="19" t="n"/>
      <c r="C128" s="19" t="n"/>
      <c r="D128" s="17" t="n"/>
      <c r="E128" s="19" t="n"/>
      <c r="F128" s="19" t="n"/>
      <c r="G128">
        <f>IF(OR(A128="",D128=""),"",IF(E128="Presentada","",D128-Parametros!$B$2))</f>
        <v/>
      </c>
      <c r="H128">
        <f>IF(OR(A128="",D128=""),"",IF(E128="Presentada","CUMPLIDA",IF(G128&lt;0,"VENCIDA",IF(G128&lt;=5,"URGENTE",IF(G128&lt;=15,"PRÓXIMA","OK")))))</f>
        <v/>
      </c>
      <c r="I128" s="19" t="n"/>
    </row>
    <row r="129">
      <c r="A129" s="19" t="n"/>
      <c r="B129" s="19" t="n"/>
      <c r="C129" s="19" t="n"/>
      <c r="D129" s="17" t="n"/>
      <c r="E129" s="19" t="n"/>
      <c r="F129" s="19" t="n"/>
      <c r="G129">
        <f>IF(OR(A129="",D129=""),"",IF(E129="Presentada","",D129-Parametros!$B$2))</f>
        <v/>
      </c>
      <c r="H129">
        <f>IF(OR(A129="",D129=""),"",IF(E129="Presentada","CUMPLIDA",IF(G129&lt;0,"VENCIDA",IF(G129&lt;=5,"URGENTE",IF(G129&lt;=15,"PRÓXIMA","OK")))))</f>
        <v/>
      </c>
      <c r="I129" s="19" t="n"/>
    </row>
    <row r="130">
      <c r="A130" s="19" t="n"/>
      <c r="B130" s="19" t="n"/>
      <c r="C130" s="19" t="n"/>
      <c r="D130" s="17" t="n"/>
      <c r="E130" s="19" t="n"/>
      <c r="F130" s="19" t="n"/>
      <c r="G130">
        <f>IF(OR(A130="",D130=""),"",IF(E130="Presentada","",D130-Parametros!$B$2))</f>
        <v/>
      </c>
      <c r="H130">
        <f>IF(OR(A130="",D130=""),"",IF(E130="Presentada","CUMPLIDA",IF(G130&lt;0,"VENCIDA",IF(G130&lt;=5,"URGENTE",IF(G130&lt;=15,"PRÓXIMA","OK")))))</f>
        <v/>
      </c>
      <c r="I130" s="19" t="n"/>
    </row>
    <row r="131">
      <c r="A131" s="19" t="n"/>
      <c r="B131" s="19" t="n"/>
      <c r="C131" s="19" t="n"/>
      <c r="D131" s="17" t="n"/>
      <c r="E131" s="19" t="n"/>
      <c r="F131" s="19" t="n"/>
      <c r="G131">
        <f>IF(OR(A131="",D131=""),"",IF(E131="Presentada","",D131-Parametros!$B$2))</f>
        <v/>
      </c>
      <c r="H131">
        <f>IF(OR(A131="",D131=""),"",IF(E131="Presentada","CUMPLIDA",IF(G131&lt;0,"VENCIDA",IF(G131&lt;=5,"URGENTE",IF(G131&lt;=15,"PRÓXIMA","OK")))))</f>
        <v/>
      </c>
      <c r="I131" s="19" t="n"/>
    </row>
    <row r="132">
      <c r="A132" s="19" t="n"/>
      <c r="B132" s="19" t="n"/>
      <c r="C132" s="19" t="n"/>
      <c r="D132" s="17" t="n"/>
      <c r="E132" s="19" t="n"/>
      <c r="F132" s="19" t="n"/>
      <c r="G132">
        <f>IF(OR(A132="",D132=""),"",IF(E132="Presentada","",D132-Parametros!$B$2))</f>
        <v/>
      </c>
      <c r="H132">
        <f>IF(OR(A132="",D132=""),"",IF(E132="Presentada","CUMPLIDA",IF(G132&lt;0,"VENCIDA",IF(G132&lt;=5,"URGENTE",IF(G132&lt;=15,"PRÓXIMA","OK")))))</f>
        <v/>
      </c>
      <c r="I132" s="19" t="n"/>
    </row>
    <row r="133">
      <c r="A133" s="19" t="n"/>
      <c r="B133" s="19" t="n"/>
      <c r="C133" s="19" t="n"/>
      <c r="D133" s="17" t="n"/>
      <c r="E133" s="19" t="n"/>
      <c r="F133" s="19" t="n"/>
      <c r="G133">
        <f>IF(OR(A133="",D133=""),"",IF(E133="Presentada","",D133-Parametros!$B$2))</f>
        <v/>
      </c>
      <c r="H133">
        <f>IF(OR(A133="",D133=""),"",IF(E133="Presentada","CUMPLIDA",IF(G133&lt;0,"VENCIDA",IF(G133&lt;=5,"URGENTE",IF(G133&lt;=15,"PRÓXIMA","OK")))))</f>
        <v/>
      </c>
      <c r="I133" s="19" t="n"/>
    </row>
    <row r="134">
      <c r="A134" s="19" t="n"/>
      <c r="B134" s="19" t="n"/>
      <c r="C134" s="19" t="n"/>
      <c r="D134" s="17" t="n"/>
      <c r="E134" s="19" t="n"/>
      <c r="F134" s="19" t="n"/>
      <c r="G134">
        <f>IF(OR(A134="",D134=""),"",IF(E134="Presentada","",D134-Parametros!$B$2))</f>
        <v/>
      </c>
      <c r="H134">
        <f>IF(OR(A134="",D134=""),"",IF(E134="Presentada","CUMPLIDA",IF(G134&lt;0,"VENCIDA",IF(G134&lt;=5,"URGENTE",IF(G134&lt;=15,"PRÓXIMA","OK")))))</f>
        <v/>
      </c>
      <c r="I134" s="19" t="n"/>
    </row>
    <row r="135">
      <c r="A135" s="19" t="n"/>
      <c r="B135" s="19" t="n"/>
      <c r="C135" s="19" t="n"/>
      <c r="D135" s="17" t="n"/>
      <c r="E135" s="19" t="n"/>
      <c r="F135" s="19" t="n"/>
      <c r="G135">
        <f>IF(OR(A135="",D135=""),"",IF(E135="Presentada","",D135-Parametros!$B$2))</f>
        <v/>
      </c>
      <c r="H135">
        <f>IF(OR(A135="",D135=""),"",IF(E135="Presentada","CUMPLIDA",IF(G135&lt;0,"VENCIDA",IF(G135&lt;=5,"URGENTE",IF(G135&lt;=15,"PRÓXIMA","OK")))))</f>
        <v/>
      </c>
      <c r="I135" s="19" t="n"/>
    </row>
    <row r="136">
      <c r="A136" s="19" t="n"/>
      <c r="B136" s="19" t="n"/>
      <c r="C136" s="19" t="n"/>
      <c r="D136" s="17" t="n"/>
      <c r="E136" s="19" t="n"/>
      <c r="F136" s="19" t="n"/>
      <c r="G136">
        <f>IF(OR(A136="",D136=""),"",IF(E136="Presentada","",D136-Parametros!$B$2))</f>
        <v/>
      </c>
      <c r="H136">
        <f>IF(OR(A136="",D136=""),"",IF(E136="Presentada","CUMPLIDA",IF(G136&lt;0,"VENCIDA",IF(G136&lt;=5,"URGENTE",IF(G136&lt;=15,"PRÓXIMA","OK")))))</f>
        <v/>
      </c>
      <c r="I136" s="19" t="n"/>
    </row>
    <row r="137">
      <c r="A137" s="19" t="n"/>
      <c r="B137" s="19" t="n"/>
      <c r="C137" s="19" t="n"/>
      <c r="D137" s="17" t="n"/>
      <c r="E137" s="19" t="n"/>
      <c r="F137" s="19" t="n"/>
      <c r="G137">
        <f>IF(OR(A137="",D137=""),"",IF(E137="Presentada","",D137-Parametros!$B$2))</f>
        <v/>
      </c>
      <c r="H137">
        <f>IF(OR(A137="",D137=""),"",IF(E137="Presentada","CUMPLIDA",IF(G137&lt;0,"VENCIDA",IF(G137&lt;=5,"URGENTE",IF(G137&lt;=15,"PRÓXIMA","OK")))))</f>
        <v/>
      </c>
      <c r="I137" s="19" t="n"/>
    </row>
    <row r="138">
      <c r="A138" s="19" t="n"/>
      <c r="B138" s="19" t="n"/>
      <c r="C138" s="19" t="n"/>
      <c r="D138" s="17" t="n"/>
      <c r="E138" s="19" t="n"/>
      <c r="F138" s="19" t="n"/>
      <c r="G138">
        <f>IF(OR(A138="",D138=""),"",IF(E138="Presentada","",D138-Parametros!$B$2))</f>
        <v/>
      </c>
      <c r="H138">
        <f>IF(OR(A138="",D138=""),"",IF(E138="Presentada","CUMPLIDA",IF(G138&lt;0,"VENCIDA",IF(G138&lt;=5,"URGENTE",IF(G138&lt;=15,"PRÓXIMA","OK")))))</f>
        <v/>
      </c>
      <c r="I138" s="19" t="n"/>
    </row>
    <row r="139">
      <c r="A139" s="19" t="n"/>
      <c r="B139" s="19" t="n"/>
      <c r="C139" s="19" t="n"/>
      <c r="D139" s="17" t="n"/>
      <c r="E139" s="19" t="n"/>
      <c r="F139" s="19" t="n"/>
      <c r="G139">
        <f>IF(OR(A139="",D139=""),"",IF(E139="Presentada","",D139-Parametros!$B$2))</f>
        <v/>
      </c>
      <c r="H139">
        <f>IF(OR(A139="",D139=""),"",IF(E139="Presentada","CUMPLIDA",IF(G139&lt;0,"VENCIDA",IF(G139&lt;=5,"URGENTE",IF(G139&lt;=15,"PRÓXIMA","OK")))))</f>
        <v/>
      </c>
      <c r="I139" s="19" t="n"/>
    </row>
    <row r="140">
      <c r="A140" s="19" t="n"/>
      <c r="B140" s="19" t="n"/>
      <c r="C140" s="19" t="n"/>
      <c r="D140" s="17" t="n"/>
      <c r="E140" s="19" t="n"/>
      <c r="F140" s="19" t="n"/>
      <c r="G140">
        <f>IF(OR(A140="",D140=""),"",IF(E140="Presentada","",D140-Parametros!$B$2))</f>
        <v/>
      </c>
      <c r="H140">
        <f>IF(OR(A140="",D140=""),"",IF(E140="Presentada","CUMPLIDA",IF(G140&lt;0,"VENCIDA",IF(G140&lt;=5,"URGENTE",IF(G140&lt;=15,"PRÓXIMA","OK")))))</f>
        <v/>
      </c>
      <c r="I140" s="19" t="n"/>
    </row>
    <row r="141">
      <c r="A141" s="19" t="n"/>
      <c r="B141" s="19" t="n"/>
      <c r="C141" s="19" t="n"/>
      <c r="D141" s="17" t="n"/>
      <c r="E141" s="19" t="n"/>
      <c r="F141" s="19" t="n"/>
      <c r="G141">
        <f>IF(OR(A141="",D141=""),"",IF(E141="Presentada","",D141-Parametros!$B$2))</f>
        <v/>
      </c>
      <c r="H141">
        <f>IF(OR(A141="",D141=""),"",IF(E141="Presentada","CUMPLIDA",IF(G141&lt;0,"VENCIDA",IF(G141&lt;=5,"URGENTE",IF(G141&lt;=15,"PRÓXIMA","OK")))))</f>
        <v/>
      </c>
      <c r="I141" s="19" t="n"/>
    </row>
    <row r="142">
      <c r="A142" s="19" t="n"/>
      <c r="B142" s="19" t="n"/>
      <c r="C142" s="19" t="n"/>
      <c r="D142" s="17" t="n"/>
      <c r="E142" s="19" t="n"/>
      <c r="F142" s="19" t="n"/>
      <c r="G142">
        <f>IF(OR(A142="",D142=""),"",IF(E142="Presentada","",D142-Parametros!$B$2))</f>
        <v/>
      </c>
      <c r="H142">
        <f>IF(OR(A142="",D142=""),"",IF(E142="Presentada","CUMPLIDA",IF(G142&lt;0,"VENCIDA",IF(G142&lt;=5,"URGENTE",IF(G142&lt;=15,"PRÓXIMA","OK")))))</f>
        <v/>
      </c>
      <c r="I142" s="19" t="n"/>
    </row>
    <row r="143">
      <c r="A143" s="19" t="n"/>
      <c r="B143" s="19" t="n"/>
      <c r="C143" s="19" t="n"/>
      <c r="D143" s="17" t="n"/>
      <c r="E143" s="19" t="n"/>
      <c r="F143" s="19" t="n"/>
      <c r="G143">
        <f>IF(OR(A143="",D143=""),"",IF(E143="Presentada","",D143-Parametros!$B$2))</f>
        <v/>
      </c>
      <c r="H143">
        <f>IF(OR(A143="",D143=""),"",IF(E143="Presentada","CUMPLIDA",IF(G143&lt;0,"VENCIDA",IF(G143&lt;=5,"URGENTE",IF(G143&lt;=15,"PRÓXIMA","OK")))))</f>
        <v/>
      </c>
      <c r="I143" s="19" t="n"/>
    </row>
    <row r="144">
      <c r="A144" s="19" t="n"/>
      <c r="B144" s="19" t="n"/>
      <c r="C144" s="19" t="n"/>
      <c r="D144" s="17" t="n"/>
      <c r="E144" s="19" t="n"/>
      <c r="F144" s="19" t="n"/>
      <c r="G144">
        <f>IF(OR(A144="",D144=""),"",IF(E144="Presentada","",D144-Parametros!$B$2))</f>
        <v/>
      </c>
      <c r="H144">
        <f>IF(OR(A144="",D144=""),"",IF(E144="Presentada","CUMPLIDA",IF(G144&lt;0,"VENCIDA",IF(G144&lt;=5,"URGENTE",IF(G144&lt;=15,"PRÓXIMA","OK")))))</f>
        <v/>
      </c>
      <c r="I144" s="19" t="n"/>
    </row>
    <row r="145">
      <c r="A145" s="19" t="n"/>
      <c r="B145" s="19" t="n"/>
      <c r="C145" s="19" t="n"/>
      <c r="D145" s="17" t="n"/>
      <c r="E145" s="19" t="n"/>
      <c r="F145" s="19" t="n"/>
      <c r="G145">
        <f>IF(OR(A145="",D145=""),"",IF(E145="Presentada","",D145-Parametros!$B$2))</f>
        <v/>
      </c>
      <c r="H145">
        <f>IF(OR(A145="",D145=""),"",IF(E145="Presentada","CUMPLIDA",IF(G145&lt;0,"VENCIDA",IF(G145&lt;=5,"URGENTE",IF(G145&lt;=15,"PRÓXIMA","OK")))))</f>
        <v/>
      </c>
      <c r="I145" s="19" t="n"/>
    </row>
    <row r="146">
      <c r="A146" s="19" t="n"/>
      <c r="B146" s="19" t="n"/>
      <c r="C146" s="19" t="n"/>
      <c r="D146" s="17" t="n"/>
      <c r="E146" s="19" t="n"/>
      <c r="F146" s="19" t="n"/>
      <c r="G146">
        <f>IF(OR(A146="",D146=""),"",IF(E146="Presentada","",D146-Parametros!$B$2))</f>
        <v/>
      </c>
      <c r="H146">
        <f>IF(OR(A146="",D146=""),"",IF(E146="Presentada","CUMPLIDA",IF(G146&lt;0,"VENCIDA",IF(G146&lt;=5,"URGENTE",IF(G146&lt;=15,"PRÓXIMA","OK")))))</f>
        <v/>
      </c>
      <c r="I146" s="19" t="n"/>
    </row>
    <row r="147">
      <c r="A147" s="19" t="n"/>
      <c r="B147" s="19" t="n"/>
      <c r="C147" s="19" t="n"/>
      <c r="D147" s="17" t="n"/>
      <c r="E147" s="19" t="n"/>
      <c r="F147" s="19" t="n"/>
      <c r="G147">
        <f>IF(OR(A147="",D147=""),"",IF(E147="Presentada","",D147-Parametros!$B$2))</f>
        <v/>
      </c>
      <c r="H147">
        <f>IF(OR(A147="",D147=""),"",IF(E147="Presentada","CUMPLIDA",IF(G147&lt;0,"VENCIDA",IF(G147&lt;=5,"URGENTE",IF(G147&lt;=15,"PRÓXIMA","OK")))))</f>
        <v/>
      </c>
      <c r="I147" s="19" t="n"/>
    </row>
    <row r="148">
      <c r="A148" s="19" t="n"/>
      <c r="B148" s="19" t="n"/>
      <c r="C148" s="19" t="n"/>
      <c r="D148" s="17" t="n"/>
      <c r="E148" s="19" t="n"/>
      <c r="F148" s="19" t="n"/>
      <c r="G148">
        <f>IF(OR(A148="",D148=""),"",IF(E148="Presentada","",D148-Parametros!$B$2))</f>
        <v/>
      </c>
      <c r="H148">
        <f>IF(OR(A148="",D148=""),"",IF(E148="Presentada","CUMPLIDA",IF(G148&lt;0,"VENCIDA",IF(G148&lt;=5,"URGENTE",IF(G148&lt;=15,"PRÓXIMA","OK")))))</f>
        <v/>
      </c>
      <c r="I148" s="19" t="n"/>
    </row>
    <row r="149">
      <c r="A149" s="19" t="n"/>
      <c r="B149" s="19" t="n"/>
      <c r="C149" s="19" t="n"/>
      <c r="D149" s="17" t="n"/>
      <c r="E149" s="19" t="n"/>
      <c r="F149" s="19" t="n"/>
      <c r="G149">
        <f>IF(OR(A149="",D149=""),"",IF(E149="Presentada","",D149-Parametros!$B$2))</f>
        <v/>
      </c>
      <c r="H149">
        <f>IF(OR(A149="",D149=""),"",IF(E149="Presentada","CUMPLIDA",IF(G149&lt;0,"VENCIDA",IF(G149&lt;=5,"URGENTE",IF(G149&lt;=15,"PRÓXIMA","OK")))))</f>
        <v/>
      </c>
      <c r="I149" s="19" t="n"/>
    </row>
    <row r="150">
      <c r="A150" s="19" t="n"/>
      <c r="B150" s="19" t="n"/>
      <c r="C150" s="19" t="n"/>
      <c r="D150" s="17" t="n"/>
      <c r="E150" s="19" t="n"/>
      <c r="F150" s="19" t="n"/>
      <c r="G150">
        <f>IF(OR(A150="",D150=""),"",IF(E150="Presentada","",D150-Parametros!$B$2))</f>
        <v/>
      </c>
      <c r="H150">
        <f>IF(OR(A150="",D150=""),"",IF(E150="Presentada","CUMPLIDA",IF(G150&lt;0,"VENCIDA",IF(G150&lt;=5,"URGENTE",IF(G150&lt;=15,"PRÓXIMA","OK")))))</f>
        <v/>
      </c>
      <c r="I150" s="19" t="n"/>
    </row>
    <row r="151">
      <c r="A151" s="19" t="n"/>
      <c r="B151" s="19" t="n"/>
      <c r="C151" s="19" t="n"/>
      <c r="D151" s="17" t="n"/>
      <c r="E151" s="19" t="n"/>
      <c r="F151" s="19" t="n"/>
      <c r="G151">
        <f>IF(OR(A151="",D151=""),"",IF(E151="Presentada","",D151-Parametros!$B$2))</f>
        <v/>
      </c>
      <c r="H151">
        <f>IF(OR(A151="",D151=""),"",IF(E151="Presentada","CUMPLIDA",IF(G151&lt;0,"VENCIDA",IF(G151&lt;=5,"URGENTE",IF(G151&lt;=15,"PRÓXIMA","OK")))))</f>
        <v/>
      </c>
      <c r="I151" s="19" t="n"/>
    </row>
    <row r="152">
      <c r="A152" s="19" t="n"/>
      <c r="B152" s="19" t="n"/>
      <c r="C152" s="19" t="n"/>
      <c r="D152" s="17" t="n"/>
      <c r="E152" s="19" t="n"/>
      <c r="F152" s="19" t="n"/>
      <c r="G152">
        <f>IF(OR(A152="",D152=""),"",IF(E152="Presentada","",D152-Parametros!$B$2))</f>
        <v/>
      </c>
      <c r="H152">
        <f>IF(OR(A152="",D152=""),"",IF(E152="Presentada","CUMPLIDA",IF(G152&lt;0,"VENCIDA",IF(G152&lt;=5,"URGENTE",IF(G152&lt;=15,"PRÓXIMA","OK")))))</f>
        <v/>
      </c>
      <c r="I152" s="19" t="n"/>
    </row>
    <row r="153">
      <c r="A153" s="19" t="n"/>
      <c r="B153" s="19" t="n"/>
      <c r="C153" s="19" t="n"/>
      <c r="D153" s="17" t="n"/>
      <c r="E153" s="19" t="n"/>
      <c r="F153" s="19" t="n"/>
      <c r="G153">
        <f>IF(OR(A153="",D153=""),"",IF(E153="Presentada","",D153-Parametros!$B$2))</f>
        <v/>
      </c>
      <c r="H153">
        <f>IF(OR(A153="",D153=""),"",IF(E153="Presentada","CUMPLIDA",IF(G153&lt;0,"VENCIDA",IF(G153&lt;=5,"URGENTE",IF(G153&lt;=15,"PRÓXIMA","OK")))))</f>
        <v/>
      </c>
      <c r="I153" s="19" t="n"/>
    </row>
    <row r="154">
      <c r="A154" s="19" t="n"/>
      <c r="B154" s="19" t="n"/>
      <c r="C154" s="19" t="n"/>
      <c r="D154" s="17" t="n"/>
      <c r="E154" s="19" t="n"/>
      <c r="F154" s="19" t="n"/>
      <c r="G154">
        <f>IF(OR(A154="",D154=""),"",IF(E154="Presentada","",D154-Parametros!$B$2))</f>
        <v/>
      </c>
      <c r="H154">
        <f>IF(OR(A154="",D154=""),"",IF(E154="Presentada","CUMPLIDA",IF(G154&lt;0,"VENCIDA",IF(G154&lt;=5,"URGENTE",IF(G154&lt;=15,"PRÓXIMA","OK")))))</f>
        <v/>
      </c>
      <c r="I154" s="19" t="n"/>
    </row>
    <row r="155">
      <c r="A155" s="19" t="n"/>
      <c r="B155" s="19" t="n"/>
      <c r="C155" s="19" t="n"/>
      <c r="D155" s="17" t="n"/>
      <c r="E155" s="19" t="n"/>
      <c r="F155" s="19" t="n"/>
      <c r="G155">
        <f>IF(OR(A155="",D155=""),"",IF(E155="Presentada","",D155-Parametros!$B$2))</f>
        <v/>
      </c>
      <c r="H155">
        <f>IF(OR(A155="",D155=""),"",IF(E155="Presentada","CUMPLIDA",IF(G155&lt;0,"VENCIDA",IF(G155&lt;=5,"URGENTE",IF(G155&lt;=15,"PRÓXIMA","OK")))))</f>
        <v/>
      </c>
      <c r="I155" s="19" t="n"/>
    </row>
    <row r="156">
      <c r="A156" s="19" t="n"/>
      <c r="B156" s="19" t="n"/>
      <c r="C156" s="19" t="n"/>
      <c r="D156" s="17" t="n"/>
      <c r="E156" s="19" t="n"/>
      <c r="F156" s="19" t="n"/>
      <c r="G156">
        <f>IF(OR(A156="",D156=""),"",IF(E156="Presentada","",D156-Parametros!$B$2))</f>
        <v/>
      </c>
      <c r="H156">
        <f>IF(OR(A156="",D156=""),"",IF(E156="Presentada","CUMPLIDA",IF(G156&lt;0,"VENCIDA",IF(G156&lt;=5,"URGENTE",IF(G156&lt;=15,"PRÓXIMA","OK")))))</f>
        <v/>
      </c>
      <c r="I156" s="19" t="n"/>
    </row>
    <row r="157">
      <c r="A157" s="19" t="n"/>
      <c r="B157" s="19" t="n"/>
      <c r="C157" s="19" t="n"/>
      <c r="D157" s="17" t="n"/>
      <c r="E157" s="19" t="n"/>
      <c r="F157" s="19" t="n"/>
      <c r="G157">
        <f>IF(OR(A157="",D157=""),"",IF(E157="Presentada","",D157-Parametros!$B$2))</f>
        <v/>
      </c>
      <c r="H157">
        <f>IF(OR(A157="",D157=""),"",IF(E157="Presentada","CUMPLIDA",IF(G157&lt;0,"VENCIDA",IF(G157&lt;=5,"URGENTE",IF(G157&lt;=15,"PRÓXIMA","OK")))))</f>
        <v/>
      </c>
      <c r="I157" s="19" t="n"/>
    </row>
    <row r="158">
      <c r="A158" s="19" t="n"/>
      <c r="B158" s="19" t="n"/>
      <c r="C158" s="19" t="n"/>
      <c r="D158" s="17" t="n"/>
      <c r="E158" s="19" t="n"/>
      <c r="F158" s="19" t="n"/>
      <c r="G158">
        <f>IF(OR(A158="",D158=""),"",IF(E158="Presentada","",D158-Parametros!$B$2))</f>
        <v/>
      </c>
      <c r="H158">
        <f>IF(OR(A158="",D158=""),"",IF(E158="Presentada","CUMPLIDA",IF(G158&lt;0,"VENCIDA",IF(G158&lt;=5,"URGENTE",IF(G158&lt;=15,"PRÓXIMA","OK")))))</f>
        <v/>
      </c>
      <c r="I158" s="19" t="n"/>
    </row>
    <row r="159">
      <c r="A159" s="19" t="n"/>
      <c r="B159" s="19" t="n"/>
      <c r="C159" s="19" t="n"/>
      <c r="D159" s="17" t="n"/>
      <c r="E159" s="19" t="n"/>
      <c r="F159" s="19" t="n"/>
      <c r="G159">
        <f>IF(OR(A159="",D159=""),"",IF(E159="Presentada","",D159-Parametros!$B$2))</f>
        <v/>
      </c>
      <c r="H159">
        <f>IF(OR(A159="",D159=""),"",IF(E159="Presentada","CUMPLIDA",IF(G159&lt;0,"VENCIDA",IF(G159&lt;=5,"URGENTE",IF(G159&lt;=15,"PRÓXIMA","OK")))))</f>
        <v/>
      </c>
      <c r="I159" s="19" t="n"/>
    </row>
    <row r="160">
      <c r="A160" s="19" t="n"/>
      <c r="B160" s="19" t="n"/>
      <c r="C160" s="19" t="n"/>
      <c r="D160" s="17" t="n"/>
      <c r="E160" s="19" t="n"/>
      <c r="F160" s="19" t="n"/>
      <c r="G160">
        <f>IF(OR(A160="",D160=""),"",IF(E160="Presentada","",D160-Parametros!$B$2))</f>
        <v/>
      </c>
      <c r="H160">
        <f>IF(OR(A160="",D160=""),"",IF(E160="Presentada","CUMPLIDA",IF(G160&lt;0,"VENCIDA",IF(G160&lt;=5,"URGENTE",IF(G160&lt;=15,"PRÓXIMA","OK")))))</f>
        <v/>
      </c>
      <c r="I160" s="19" t="n"/>
    </row>
    <row r="161">
      <c r="A161" s="19" t="n"/>
      <c r="B161" s="19" t="n"/>
      <c r="C161" s="19" t="n"/>
      <c r="D161" s="17" t="n"/>
      <c r="E161" s="19" t="n"/>
      <c r="F161" s="19" t="n"/>
      <c r="G161">
        <f>IF(OR(A161="",D161=""),"",IF(E161="Presentada","",D161-Parametros!$B$2))</f>
        <v/>
      </c>
      <c r="H161">
        <f>IF(OR(A161="",D161=""),"",IF(E161="Presentada","CUMPLIDA",IF(G161&lt;0,"VENCIDA",IF(G161&lt;=5,"URGENTE",IF(G161&lt;=15,"PRÓXIMA","OK")))))</f>
        <v/>
      </c>
      <c r="I161" s="19" t="n"/>
    </row>
    <row r="162">
      <c r="A162" s="19" t="n"/>
      <c r="B162" s="19" t="n"/>
      <c r="C162" s="19" t="n"/>
      <c r="D162" s="17" t="n"/>
      <c r="E162" s="19" t="n"/>
      <c r="F162" s="19" t="n"/>
      <c r="G162">
        <f>IF(OR(A162="",D162=""),"",IF(E162="Presentada","",D162-Parametros!$B$2))</f>
        <v/>
      </c>
      <c r="H162">
        <f>IF(OR(A162="",D162=""),"",IF(E162="Presentada","CUMPLIDA",IF(G162&lt;0,"VENCIDA",IF(G162&lt;=5,"URGENTE",IF(G162&lt;=15,"PRÓXIMA","OK")))))</f>
        <v/>
      </c>
      <c r="I162" s="19" t="n"/>
    </row>
    <row r="163">
      <c r="A163" s="19" t="n"/>
      <c r="B163" s="19" t="n"/>
      <c r="C163" s="19" t="n"/>
      <c r="D163" s="17" t="n"/>
      <c r="E163" s="19" t="n"/>
      <c r="F163" s="19" t="n"/>
      <c r="G163">
        <f>IF(OR(A163="",D163=""),"",IF(E163="Presentada","",D163-Parametros!$B$2))</f>
        <v/>
      </c>
      <c r="H163">
        <f>IF(OR(A163="",D163=""),"",IF(E163="Presentada","CUMPLIDA",IF(G163&lt;0,"VENCIDA",IF(G163&lt;=5,"URGENTE",IF(G163&lt;=15,"PRÓXIMA","OK")))))</f>
        <v/>
      </c>
      <c r="I163" s="19" t="n"/>
    </row>
    <row r="164">
      <c r="A164" s="19" t="n"/>
      <c r="B164" s="19" t="n"/>
      <c r="C164" s="19" t="n"/>
      <c r="D164" s="17" t="n"/>
      <c r="E164" s="19" t="n"/>
      <c r="F164" s="19" t="n"/>
      <c r="G164">
        <f>IF(OR(A164="",D164=""),"",IF(E164="Presentada","",D164-Parametros!$B$2))</f>
        <v/>
      </c>
      <c r="H164">
        <f>IF(OR(A164="",D164=""),"",IF(E164="Presentada","CUMPLIDA",IF(G164&lt;0,"VENCIDA",IF(G164&lt;=5,"URGENTE",IF(G164&lt;=15,"PRÓXIMA","OK")))))</f>
        <v/>
      </c>
      <c r="I164" s="19" t="n"/>
    </row>
    <row r="165">
      <c r="A165" s="19" t="n"/>
      <c r="B165" s="19" t="n"/>
      <c r="C165" s="19" t="n"/>
      <c r="D165" s="17" t="n"/>
      <c r="E165" s="19" t="n"/>
      <c r="F165" s="19" t="n"/>
      <c r="G165">
        <f>IF(OR(A165="",D165=""),"",IF(E165="Presentada","",D165-Parametros!$B$2))</f>
        <v/>
      </c>
      <c r="H165">
        <f>IF(OR(A165="",D165=""),"",IF(E165="Presentada","CUMPLIDA",IF(G165&lt;0,"VENCIDA",IF(G165&lt;=5,"URGENTE",IF(G165&lt;=15,"PRÓXIMA","OK")))))</f>
        <v/>
      </c>
      <c r="I165" s="19" t="n"/>
    </row>
    <row r="166">
      <c r="A166" s="19" t="n"/>
      <c r="B166" s="19" t="n"/>
      <c r="C166" s="19" t="n"/>
      <c r="D166" s="17" t="n"/>
      <c r="E166" s="19" t="n"/>
      <c r="F166" s="19" t="n"/>
      <c r="G166">
        <f>IF(OR(A166="",D166=""),"",IF(E166="Presentada","",D166-Parametros!$B$2))</f>
        <v/>
      </c>
      <c r="H166">
        <f>IF(OR(A166="",D166=""),"",IF(E166="Presentada","CUMPLIDA",IF(G166&lt;0,"VENCIDA",IF(G166&lt;=5,"URGENTE",IF(G166&lt;=15,"PRÓXIMA","OK")))))</f>
        <v/>
      </c>
      <c r="I166" s="19" t="n"/>
    </row>
    <row r="167">
      <c r="A167" s="19" t="n"/>
      <c r="B167" s="19" t="n"/>
      <c r="C167" s="19" t="n"/>
      <c r="D167" s="17" t="n"/>
      <c r="E167" s="19" t="n"/>
      <c r="F167" s="19" t="n"/>
      <c r="G167">
        <f>IF(OR(A167="",D167=""),"",IF(E167="Presentada","",D167-Parametros!$B$2))</f>
        <v/>
      </c>
      <c r="H167">
        <f>IF(OR(A167="",D167=""),"",IF(E167="Presentada","CUMPLIDA",IF(G167&lt;0,"VENCIDA",IF(G167&lt;=5,"URGENTE",IF(G167&lt;=15,"PRÓXIMA","OK")))))</f>
        <v/>
      </c>
      <c r="I167" s="19" t="n"/>
    </row>
    <row r="168">
      <c r="A168" s="19" t="n"/>
      <c r="B168" s="19" t="n"/>
      <c r="C168" s="19" t="n"/>
      <c r="D168" s="17" t="n"/>
      <c r="E168" s="19" t="n"/>
      <c r="F168" s="19" t="n"/>
      <c r="G168">
        <f>IF(OR(A168="",D168=""),"",IF(E168="Presentada","",D168-Parametros!$B$2))</f>
        <v/>
      </c>
      <c r="H168">
        <f>IF(OR(A168="",D168=""),"",IF(E168="Presentada","CUMPLIDA",IF(G168&lt;0,"VENCIDA",IF(G168&lt;=5,"URGENTE",IF(G168&lt;=15,"PRÓXIMA","OK")))))</f>
        <v/>
      </c>
      <c r="I168" s="19" t="n"/>
    </row>
    <row r="169">
      <c r="A169" s="19" t="n"/>
      <c r="B169" s="19" t="n"/>
      <c r="C169" s="19" t="n"/>
      <c r="D169" s="17" t="n"/>
      <c r="E169" s="19" t="n"/>
      <c r="F169" s="19" t="n"/>
      <c r="G169">
        <f>IF(OR(A169="",D169=""),"",IF(E169="Presentada","",D169-Parametros!$B$2))</f>
        <v/>
      </c>
      <c r="H169">
        <f>IF(OR(A169="",D169=""),"",IF(E169="Presentada","CUMPLIDA",IF(G169&lt;0,"VENCIDA",IF(G169&lt;=5,"URGENTE",IF(G169&lt;=15,"PRÓXIMA","OK")))))</f>
        <v/>
      </c>
      <c r="I169" s="19" t="n"/>
    </row>
    <row r="170">
      <c r="A170" s="19" t="n"/>
      <c r="B170" s="19" t="n"/>
      <c r="C170" s="19" t="n"/>
      <c r="D170" s="17" t="n"/>
      <c r="E170" s="19" t="n"/>
      <c r="F170" s="19" t="n"/>
      <c r="G170">
        <f>IF(OR(A170="",D170=""),"",IF(E170="Presentada","",D170-Parametros!$B$2))</f>
        <v/>
      </c>
      <c r="H170">
        <f>IF(OR(A170="",D170=""),"",IF(E170="Presentada","CUMPLIDA",IF(G170&lt;0,"VENCIDA",IF(G170&lt;=5,"URGENTE",IF(G170&lt;=15,"PRÓXIMA","OK")))))</f>
        <v/>
      </c>
      <c r="I170" s="19" t="n"/>
    </row>
    <row r="171">
      <c r="A171" s="19" t="n"/>
      <c r="B171" s="19" t="n"/>
      <c r="C171" s="19" t="n"/>
      <c r="D171" s="17" t="n"/>
      <c r="E171" s="19" t="n"/>
      <c r="F171" s="19" t="n"/>
      <c r="G171">
        <f>IF(OR(A171="",D171=""),"",IF(E171="Presentada","",D171-Parametros!$B$2))</f>
        <v/>
      </c>
      <c r="H171">
        <f>IF(OR(A171="",D171=""),"",IF(E171="Presentada","CUMPLIDA",IF(G171&lt;0,"VENCIDA",IF(G171&lt;=5,"URGENTE",IF(G171&lt;=15,"PRÓXIMA","OK")))))</f>
        <v/>
      </c>
      <c r="I171" s="19" t="n"/>
    </row>
    <row r="172">
      <c r="A172" s="19" t="n"/>
      <c r="B172" s="19" t="n"/>
      <c r="C172" s="19" t="n"/>
      <c r="D172" s="17" t="n"/>
      <c r="E172" s="19" t="n"/>
      <c r="F172" s="19" t="n"/>
      <c r="G172">
        <f>IF(OR(A172="",D172=""),"",IF(E172="Presentada","",D172-Parametros!$B$2))</f>
        <v/>
      </c>
      <c r="H172">
        <f>IF(OR(A172="",D172=""),"",IF(E172="Presentada","CUMPLIDA",IF(G172&lt;0,"VENCIDA",IF(G172&lt;=5,"URGENTE",IF(G172&lt;=15,"PRÓXIMA","OK")))))</f>
        <v/>
      </c>
      <c r="I172" s="19" t="n"/>
    </row>
    <row r="173">
      <c r="A173" s="19" t="n"/>
      <c r="B173" s="19" t="n"/>
      <c r="C173" s="19" t="n"/>
      <c r="D173" s="17" t="n"/>
      <c r="E173" s="19" t="n"/>
      <c r="F173" s="19" t="n"/>
      <c r="G173">
        <f>IF(OR(A173="",D173=""),"",IF(E173="Presentada","",D173-Parametros!$B$2))</f>
        <v/>
      </c>
      <c r="H173">
        <f>IF(OR(A173="",D173=""),"",IF(E173="Presentada","CUMPLIDA",IF(G173&lt;0,"VENCIDA",IF(G173&lt;=5,"URGENTE",IF(G173&lt;=15,"PRÓXIMA","OK")))))</f>
        <v/>
      </c>
      <c r="I173" s="19" t="n"/>
    </row>
    <row r="174">
      <c r="A174" s="19" t="n"/>
      <c r="B174" s="19" t="n"/>
      <c r="C174" s="19" t="n"/>
      <c r="D174" s="17" t="n"/>
      <c r="E174" s="19" t="n"/>
      <c r="F174" s="19" t="n"/>
      <c r="G174">
        <f>IF(OR(A174="",D174=""),"",IF(E174="Presentada","",D174-Parametros!$B$2))</f>
        <v/>
      </c>
      <c r="H174">
        <f>IF(OR(A174="",D174=""),"",IF(E174="Presentada","CUMPLIDA",IF(G174&lt;0,"VENCIDA",IF(G174&lt;=5,"URGENTE",IF(G174&lt;=15,"PRÓXIMA","OK")))))</f>
        <v/>
      </c>
      <c r="I174" s="19" t="n"/>
    </row>
    <row r="175">
      <c r="A175" s="19" t="n"/>
      <c r="B175" s="19" t="n"/>
      <c r="C175" s="19" t="n"/>
      <c r="D175" s="17" t="n"/>
      <c r="E175" s="19" t="n"/>
      <c r="F175" s="19" t="n"/>
      <c r="G175">
        <f>IF(OR(A175="",D175=""),"",IF(E175="Presentada","",D175-Parametros!$B$2))</f>
        <v/>
      </c>
      <c r="H175">
        <f>IF(OR(A175="",D175=""),"",IF(E175="Presentada","CUMPLIDA",IF(G175&lt;0,"VENCIDA",IF(G175&lt;=5,"URGENTE",IF(G175&lt;=15,"PRÓXIMA","OK")))))</f>
        <v/>
      </c>
      <c r="I175" s="19" t="n"/>
    </row>
    <row r="176">
      <c r="A176" s="19" t="n"/>
      <c r="B176" s="19" t="n"/>
      <c r="C176" s="19" t="n"/>
      <c r="D176" s="17" t="n"/>
      <c r="E176" s="19" t="n"/>
      <c r="F176" s="19" t="n"/>
      <c r="G176">
        <f>IF(OR(A176="",D176=""),"",IF(E176="Presentada","",D176-Parametros!$B$2))</f>
        <v/>
      </c>
      <c r="H176">
        <f>IF(OR(A176="",D176=""),"",IF(E176="Presentada","CUMPLIDA",IF(G176&lt;0,"VENCIDA",IF(G176&lt;=5,"URGENTE",IF(G176&lt;=15,"PRÓXIMA","OK")))))</f>
        <v/>
      </c>
      <c r="I176" s="19" t="n"/>
    </row>
    <row r="177">
      <c r="A177" s="19" t="n"/>
      <c r="B177" s="19" t="n"/>
      <c r="C177" s="19" t="n"/>
      <c r="D177" s="17" t="n"/>
      <c r="E177" s="19" t="n"/>
      <c r="F177" s="19" t="n"/>
      <c r="G177">
        <f>IF(OR(A177="",D177=""),"",IF(E177="Presentada","",D177-Parametros!$B$2))</f>
        <v/>
      </c>
      <c r="H177">
        <f>IF(OR(A177="",D177=""),"",IF(E177="Presentada","CUMPLIDA",IF(G177&lt;0,"VENCIDA",IF(G177&lt;=5,"URGENTE",IF(G177&lt;=15,"PRÓXIMA","OK")))))</f>
        <v/>
      </c>
      <c r="I177" s="19" t="n"/>
    </row>
    <row r="178">
      <c r="A178" s="19" t="n"/>
      <c r="B178" s="19" t="n"/>
      <c r="C178" s="19" t="n"/>
      <c r="D178" s="17" t="n"/>
      <c r="E178" s="19" t="n"/>
      <c r="F178" s="19" t="n"/>
      <c r="G178">
        <f>IF(OR(A178="",D178=""),"",IF(E178="Presentada","",D178-Parametros!$B$2))</f>
        <v/>
      </c>
      <c r="H178">
        <f>IF(OR(A178="",D178=""),"",IF(E178="Presentada","CUMPLIDA",IF(G178&lt;0,"VENCIDA",IF(G178&lt;=5,"URGENTE",IF(G178&lt;=15,"PRÓXIMA","OK")))))</f>
        <v/>
      </c>
      <c r="I178" s="19" t="n"/>
    </row>
    <row r="179">
      <c r="A179" s="19" t="n"/>
      <c r="B179" s="19" t="n"/>
      <c r="C179" s="19" t="n"/>
      <c r="D179" s="17" t="n"/>
      <c r="E179" s="19" t="n"/>
      <c r="F179" s="19" t="n"/>
      <c r="G179">
        <f>IF(OR(A179="",D179=""),"",IF(E179="Presentada","",D179-Parametros!$B$2))</f>
        <v/>
      </c>
      <c r="H179">
        <f>IF(OR(A179="",D179=""),"",IF(E179="Presentada","CUMPLIDA",IF(G179&lt;0,"VENCIDA",IF(G179&lt;=5,"URGENTE",IF(G179&lt;=15,"PRÓXIMA","OK")))))</f>
        <v/>
      </c>
      <c r="I179" s="19" t="n"/>
    </row>
    <row r="180">
      <c r="A180" s="19" t="n"/>
      <c r="B180" s="19" t="n"/>
      <c r="C180" s="19" t="n"/>
      <c r="D180" s="17" t="n"/>
      <c r="E180" s="19" t="n"/>
      <c r="F180" s="19" t="n"/>
      <c r="G180">
        <f>IF(OR(A180="",D180=""),"",IF(E180="Presentada","",D180-Parametros!$B$2))</f>
        <v/>
      </c>
      <c r="H180">
        <f>IF(OR(A180="",D180=""),"",IF(E180="Presentada","CUMPLIDA",IF(G180&lt;0,"VENCIDA",IF(G180&lt;=5,"URGENTE",IF(G180&lt;=15,"PRÓXIMA","OK")))))</f>
        <v/>
      </c>
      <c r="I180" s="19" t="n"/>
    </row>
    <row r="181">
      <c r="A181" s="19" t="n"/>
      <c r="B181" s="19" t="n"/>
      <c r="C181" s="19" t="n"/>
      <c r="D181" s="17" t="n"/>
      <c r="E181" s="19" t="n"/>
      <c r="F181" s="19" t="n"/>
      <c r="G181">
        <f>IF(OR(A181="",D181=""),"",IF(E181="Presentada","",D181-Parametros!$B$2))</f>
        <v/>
      </c>
      <c r="H181">
        <f>IF(OR(A181="",D181=""),"",IF(E181="Presentada","CUMPLIDA",IF(G181&lt;0,"VENCIDA",IF(G181&lt;=5,"URGENTE",IF(G181&lt;=15,"PRÓXIMA","OK")))))</f>
        <v/>
      </c>
      <c r="I181" s="19" t="n"/>
    </row>
    <row r="182">
      <c r="A182" s="19" t="n"/>
      <c r="B182" s="19" t="n"/>
      <c r="C182" s="19" t="n"/>
      <c r="D182" s="17" t="n"/>
      <c r="E182" s="19" t="n"/>
      <c r="F182" s="19" t="n"/>
      <c r="G182">
        <f>IF(OR(A182="",D182=""),"",IF(E182="Presentada","",D182-Parametros!$B$2))</f>
        <v/>
      </c>
      <c r="H182">
        <f>IF(OR(A182="",D182=""),"",IF(E182="Presentada","CUMPLIDA",IF(G182&lt;0,"VENCIDA",IF(G182&lt;=5,"URGENTE",IF(G182&lt;=15,"PRÓXIMA","OK")))))</f>
        <v/>
      </c>
      <c r="I182" s="19" t="n"/>
    </row>
    <row r="183">
      <c r="A183" s="19" t="n"/>
      <c r="B183" s="19" t="n"/>
      <c r="C183" s="19" t="n"/>
      <c r="D183" s="17" t="n"/>
      <c r="E183" s="19" t="n"/>
      <c r="F183" s="19" t="n"/>
      <c r="G183">
        <f>IF(OR(A183="",D183=""),"",IF(E183="Presentada","",D183-Parametros!$B$2))</f>
        <v/>
      </c>
      <c r="H183">
        <f>IF(OR(A183="",D183=""),"",IF(E183="Presentada","CUMPLIDA",IF(G183&lt;0,"VENCIDA",IF(G183&lt;=5,"URGENTE",IF(G183&lt;=15,"PRÓXIMA","OK")))))</f>
        <v/>
      </c>
      <c r="I183" s="19" t="n"/>
    </row>
    <row r="184">
      <c r="A184" s="19" t="n"/>
      <c r="B184" s="19" t="n"/>
      <c r="C184" s="19" t="n"/>
      <c r="D184" s="17" t="n"/>
      <c r="E184" s="19" t="n"/>
      <c r="F184" s="19" t="n"/>
      <c r="G184">
        <f>IF(OR(A184="",D184=""),"",IF(E184="Presentada","",D184-Parametros!$B$2))</f>
        <v/>
      </c>
      <c r="H184">
        <f>IF(OR(A184="",D184=""),"",IF(E184="Presentada","CUMPLIDA",IF(G184&lt;0,"VENCIDA",IF(G184&lt;=5,"URGENTE",IF(G184&lt;=15,"PRÓXIMA","OK")))))</f>
        <v/>
      </c>
      <c r="I184" s="19" t="n"/>
    </row>
    <row r="185">
      <c r="A185" s="19" t="n"/>
      <c r="B185" s="19" t="n"/>
      <c r="C185" s="19" t="n"/>
      <c r="D185" s="17" t="n"/>
      <c r="E185" s="19" t="n"/>
      <c r="F185" s="19" t="n"/>
      <c r="G185">
        <f>IF(OR(A185="",D185=""),"",IF(E185="Presentada","",D185-Parametros!$B$2))</f>
        <v/>
      </c>
      <c r="H185">
        <f>IF(OR(A185="",D185=""),"",IF(E185="Presentada","CUMPLIDA",IF(G185&lt;0,"VENCIDA",IF(G185&lt;=5,"URGENTE",IF(G185&lt;=15,"PRÓXIMA","OK")))))</f>
        <v/>
      </c>
      <c r="I185" s="19" t="n"/>
    </row>
    <row r="186">
      <c r="A186" s="19" t="n"/>
      <c r="B186" s="19" t="n"/>
      <c r="C186" s="19" t="n"/>
      <c r="D186" s="17" t="n"/>
      <c r="E186" s="19" t="n"/>
      <c r="F186" s="19" t="n"/>
      <c r="G186">
        <f>IF(OR(A186="",D186=""),"",IF(E186="Presentada","",D186-Parametros!$B$2))</f>
        <v/>
      </c>
      <c r="H186">
        <f>IF(OR(A186="",D186=""),"",IF(E186="Presentada","CUMPLIDA",IF(G186&lt;0,"VENCIDA",IF(G186&lt;=5,"URGENTE",IF(G186&lt;=15,"PRÓXIMA","OK")))))</f>
        <v/>
      </c>
      <c r="I186" s="19" t="n"/>
    </row>
    <row r="187">
      <c r="A187" s="19" t="n"/>
      <c r="B187" s="19" t="n"/>
      <c r="C187" s="19" t="n"/>
      <c r="D187" s="17" t="n"/>
      <c r="E187" s="19" t="n"/>
      <c r="F187" s="19" t="n"/>
      <c r="G187">
        <f>IF(OR(A187="",D187=""),"",IF(E187="Presentada","",D187-Parametros!$B$2))</f>
        <v/>
      </c>
      <c r="H187">
        <f>IF(OR(A187="",D187=""),"",IF(E187="Presentada","CUMPLIDA",IF(G187&lt;0,"VENCIDA",IF(G187&lt;=5,"URGENTE",IF(G187&lt;=15,"PRÓXIMA","OK")))))</f>
        <v/>
      </c>
      <c r="I187" s="19" t="n"/>
    </row>
    <row r="188">
      <c r="A188" s="19" t="n"/>
      <c r="B188" s="19" t="n"/>
      <c r="C188" s="19" t="n"/>
      <c r="D188" s="17" t="n"/>
      <c r="E188" s="19" t="n"/>
      <c r="F188" s="19" t="n"/>
      <c r="G188">
        <f>IF(OR(A188="",D188=""),"",IF(E188="Presentada","",D188-Parametros!$B$2))</f>
        <v/>
      </c>
      <c r="H188">
        <f>IF(OR(A188="",D188=""),"",IF(E188="Presentada","CUMPLIDA",IF(G188&lt;0,"VENCIDA",IF(G188&lt;=5,"URGENTE",IF(G188&lt;=15,"PRÓXIMA","OK")))))</f>
        <v/>
      </c>
      <c r="I188" s="19" t="n"/>
    </row>
    <row r="189">
      <c r="A189" s="19" t="n"/>
      <c r="B189" s="19" t="n"/>
      <c r="C189" s="19" t="n"/>
      <c r="D189" s="17" t="n"/>
      <c r="E189" s="19" t="n"/>
      <c r="F189" s="19" t="n"/>
      <c r="G189">
        <f>IF(OR(A189="",D189=""),"",IF(E189="Presentada","",D189-Parametros!$B$2))</f>
        <v/>
      </c>
      <c r="H189">
        <f>IF(OR(A189="",D189=""),"",IF(E189="Presentada","CUMPLIDA",IF(G189&lt;0,"VENCIDA",IF(G189&lt;=5,"URGENTE",IF(G189&lt;=15,"PRÓXIMA","OK")))))</f>
        <v/>
      </c>
      <c r="I189" s="19" t="n"/>
    </row>
    <row r="190">
      <c r="A190" s="19" t="n"/>
      <c r="B190" s="19" t="n"/>
      <c r="C190" s="19" t="n"/>
      <c r="D190" s="17" t="n"/>
      <c r="E190" s="19" t="n"/>
      <c r="F190" s="19" t="n"/>
      <c r="G190">
        <f>IF(OR(A190="",D190=""),"",IF(E190="Presentada","",D190-Parametros!$B$2))</f>
        <v/>
      </c>
      <c r="H190">
        <f>IF(OR(A190="",D190=""),"",IF(E190="Presentada","CUMPLIDA",IF(G190&lt;0,"VENCIDA",IF(G190&lt;=5,"URGENTE",IF(G190&lt;=15,"PRÓXIMA","OK")))))</f>
        <v/>
      </c>
      <c r="I190" s="19" t="n"/>
    </row>
    <row r="191">
      <c r="A191" s="19" t="n"/>
      <c r="B191" s="19" t="n"/>
      <c r="C191" s="19" t="n"/>
      <c r="D191" s="17" t="n"/>
      <c r="E191" s="19" t="n"/>
      <c r="F191" s="19" t="n"/>
      <c r="G191">
        <f>IF(OR(A191="",D191=""),"",IF(E191="Presentada","",D191-Parametros!$B$2))</f>
        <v/>
      </c>
      <c r="H191">
        <f>IF(OR(A191="",D191=""),"",IF(E191="Presentada","CUMPLIDA",IF(G191&lt;0,"VENCIDA",IF(G191&lt;=5,"URGENTE",IF(G191&lt;=15,"PRÓXIMA","OK")))))</f>
        <v/>
      </c>
      <c r="I191" s="19" t="n"/>
    </row>
    <row r="192">
      <c r="A192" s="19" t="n"/>
      <c r="B192" s="19" t="n"/>
      <c r="C192" s="19" t="n"/>
      <c r="D192" s="17" t="n"/>
      <c r="E192" s="19" t="n"/>
      <c r="F192" s="19" t="n"/>
      <c r="G192">
        <f>IF(OR(A192="",D192=""),"",IF(E192="Presentada","",D192-Parametros!$B$2))</f>
        <v/>
      </c>
      <c r="H192">
        <f>IF(OR(A192="",D192=""),"",IF(E192="Presentada","CUMPLIDA",IF(G192&lt;0,"VENCIDA",IF(G192&lt;=5,"URGENTE",IF(G192&lt;=15,"PRÓXIMA","OK")))))</f>
        <v/>
      </c>
      <c r="I192" s="19" t="n"/>
    </row>
    <row r="193">
      <c r="A193" s="19" t="n"/>
      <c r="B193" s="19" t="n"/>
      <c r="C193" s="19" t="n"/>
      <c r="D193" s="17" t="n"/>
      <c r="E193" s="19" t="n"/>
      <c r="F193" s="19" t="n"/>
      <c r="G193">
        <f>IF(OR(A193="",D193=""),"",IF(E193="Presentada","",D193-Parametros!$B$2))</f>
        <v/>
      </c>
      <c r="H193">
        <f>IF(OR(A193="",D193=""),"",IF(E193="Presentada","CUMPLIDA",IF(G193&lt;0,"VENCIDA",IF(G193&lt;=5,"URGENTE",IF(G193&lt;=15,"PRÓXIMA","OK")))))</f>
        <v/>
      </c>
      <c r="I193" s="19" t="n"/>
    </row>
    <row r="194">
      <c r="A194" s="19" t="n"/>
      <c r="B194" s="19" t="n"/>
      <c r="C194" s="19" t="n"/>
      <c r="D194" s="17" t="n"/>
      <c r="E194" s="19" t="n"/>
      <c r="F194" s="19" t="n"/>
      <c r="G194">
        <f>IF(OR(A194="",D194=""),"",IF(E194="Presentada","",D194-Parametros!$B$2))</f>
        <v/>
      </c>
      <c r="H194">
        <f>IF(OR(A194="",D194=""),"",IF(E194="Presentada","CUMPLIDA",IF(G194&lt;0,"VENCIDA",IF(G194&lt;=5,"URGENTE",IF(G194&lt;=15,"PRÓXIMA","OK")))))</f>
        <v/>
      </c>
      <c r="I194" s="19" t="n"/>
    </row>
    <row r="195">
      <c r="A195" s="19" t="n"/>
      <c r="B195" s="19" t="n"/>
      <c r="C195" s="19" t="n"/>
      <c r="D195" s="17" t="n"/>
      <c r="E195" s="19" t="n"/>
      <c r="F195" s="19" t="n"/>
      <c r="G195">
        <f>IF(OR(A195="",D195=""),"",IF(E195="Presentada","",D195-Parametros!$B$2))</f>
        <v/>
      </c>
      <c r="H195">
        <f>IF(OR(A195="",D195=""),"",IF(E195="Presentada","CUMPLIDA",IF(G195&lt;0,"VENCIDA",IF(G195&lt;=5,"URGENTE",IF(G195&lt;=15,"PRÓXIMA","OK")))))</f>
        <v/>
      </c>
      <c r="I195" s="19" t="n"/>
    </row>
    <row r="196">
      <c r="A196" s="19" t="n"/>
      <c r="B196" s="19" t="n"/>
      <c r="C196" s="19" t="n"/>
      <c r="D196" s="17" t="n"/>
      <c r="E196" s="19" t="n"/>
      <c r="F196" s="19" t="n"/>
      <c r="G196">
        <f>IF(OR(A196="",D196=""),"",IF(E196="Presentada","",D196-Parametros!$B$2))</f>
        <v/>
      </c>
      <c r="H196">
        <f>IF(OR(A196="",D196=""),"",IF(E196="Presentada","CUMPLIDA",IF(G196&lt;0,"VENCIDA",IF(G196&lt;=5,"URGENTE",IF(G196&lt;=15,"PRÓXIMA","OK")))))</f>
        <v/>
      </c>
      <c r="I196" s="19" t="n"/>
    </row>
    <row r="197">
      <c r="A197" s="19" t="n"/>
      <c r="B197" s="19" t="n"/>
      <c r="C197" s="19" t="n"/>
      <c r="D197" s="17" t="n"/>
      <c r="E197" s="19" t="n"/>
      <c r="F197" s="19" t="n"/>
      <c r="G197">
        <f>IF(OR(A197="",D197=""),"",IF(E197="Presentada","",D197-Parametros!$B$2))</f>
        <v/>
      </c>
      <c r="H197">
        <f>IF(OR(A197="",D197=""),"",IF(E197="Presentada","CUMPLIDA",IF(G197&lt;0,"VENCIDA",IF(G197&lt;=5,"URGENTE",IF(G197&lt;=15,"PRÓXIMA","OK")))))</f>
        <v/>
      </c>
      <c r="I197" s="19" t="n"/>
    </row>
    <row r="198">
      <c r="A198" s="19" t="n"/>
      <c r="B198" s="19" t="n"/>
      <c r="C198" s="19" t="n"/>
      <c r="D198" s="17" t="n"/>
      <c r="E198" s="19" t="n"/>
      <c r="F198" s="19" t="n"/>
      <c r="G198">
        <f>IF(OR(A198="",D198=""),"",IF(E198="Presentada","",D198-Parametros!$B$2))</f>
        <v/>
      </c>
      <c r="H198">
        <f>IF(OR(A198="",D198=""),"",IF(E198="Presentada","CUMPLIDA",IF(G198&lt;0,"VENCIDA",IF(G198&lt;=5,"URGENTE",IF(G198&lt;=15,"PRÓXIMA","OK")))))</f>
        <v/>
      </c>
      <c r="I198" s="19" t="n"/>
    </row>
    <row r="199">
      <c r="A199" s="19" t="n"/>
      <c r="B199" s="19" t="n"/>
      <c r="C199" s="19" t="n"/>
      <c r="D199" s="17" t="n"/>
      <c r="E199" s="19" t="n"/>
      <c r="F199" s="19" t="n"/>
      <c r="G199">
        <f>IF(OR(A199="",D199=""),"",IF(E199="Presentada","",D199-Parametros!$B$2))</f>
        <v/>
      </c>
      <c r="H199">
        <f>IF(OR(A199="",D199=""),"",IF(E199="Presentada","CUMPLIDA",IF(G199&lt;0,"VENCIDA",IF(G199&lt;=5,"URGENTE",IF(G199&lt;=15,"PRÓXIMA","OK")))))</f>
        <v/>
      </c>
      <c r="I199" s="19" t="n"/>
    </row>
    <row r="200">
      <c r="A200" s="19" t="n"/>
      <c r="B200" s="19" t="n"/>
      <c r="C200" s="19" t="n"/>
      <c r="D200" s="17" t="n"/>
      <c r="E200" s="19" t="n"/>
      <c r="F200" s="19" t="n"/>
      <c r="G200">
        <f>IF(OR(A200="",D200=""),"",IF(E200="Presentada","",D200-Parametros!$B$2))</f>
        <v/>
      </c>
      <c r="H200">
        <f>IF(OR(A200="",D200=""),"",IF(E200="Presentada","CUMPLIDA",IF(G200&lt;0,"VENCIDA",IF(G200&lt;=5,"URGENTE",IF(G200&lt;=15,"PRÓXIMA","OK")))))</f>
        <v/>
      </c>
      <c r="I200" s="19" t="n"/>
    </row>
    <row r="201">
      <c r="A201" s="19" t="n"/>
      <c r="B201" s="19" t="n"/>
      <c r="C201" s="19" t="n"/>
      <c r="D201" s="17" t="n"/>
      <c r="E201" s="19" t="n"/>
      <c r="F201" s="19" t="n"/>
      <c r="G201">
        <f>IF(OR(A201="",D201=""),"",IF(E201="Presentada","",D201-Parametros!$B$2))</f>
        <v/>
      </c>
      <c r="H201">
        <f>IF(OR(A201="",D201=""),"",IF(E201="Presentada","CUMPLIDA",IF(G201&lt;0,"VENCIDA",IF(G201&lt;=5,"URGENTE",IF(G201&lt;=15,"PRÓXIMA","OK")))))</f>
        <v/>
      </c>
      <c r="I201" s="19" t="n"/>
    </row>
    <row r="202">
      <c r="A202" s="19" t="n"/>
      <c r="B202" s="19" t="n"/>
      <c r="C202" s="19" t="n"/>
      <c r="D202" s="17" t="n"/>
      <c r="E202" s="19" t="n"/>
      <c r="F202" s="19" t="n"/>
      <c r="G202">
        <f>IF(OR(A202="",D202=""),"",IF(E202="Presentada","",D202-Parametros!$B$2))</f>
        <v/>
      </c>
      <c r="H202">
        <f>IF(OR(A202="",D202=""),"",IF(E202="Presentada","CUMPLIDA",IF(G202&lt;0,"VENCIDA",IF(G202&lt;=5,"URGENTE",IF(G202&lt;=15,"PRÓXIMA","OK")))))</f>
        <v/>
      </c>
      <c r="I202" s="19" t="n"/>
    </row>
    <row r="203">
      <c r="A203" s="19" t="n"/>
      <c r="B203" s="19" t="n"/>
      <c r="C203" s="19" t="n"/>
      <c r="D203" s="17" t="n"/>
      <c r="E203" s="19" t="n"/>
      <c r="F203" s="19" t="n"/>
      <c r="G203">
        <f>IF(OR(A203="",D203=""),"",IF(E203="Presentada","",D203-Parametros!$B$2))</f>
        <v/>
      </c>
      <c r="H203">
        <f>IF(OR(A203="",D203=""),"",IF(E203="Presentada","CUMPLIDA",IF(G203&lt;0,"VENCIDA",IF(G203&lt;=5,"URGENTE",IF(G203&lt;=15,"PRÓXIMA","OK")))))</f>
        <v/>
      </c>
      <c r="I203" s="19" t="n"/>
    </row>
    <row r="204">
      <c r="A204" s="19" t="n"/>
      <c r="B204" s="19" t="n"/>
      <c r="C204" s="19" t="n"/>
      <c r="D204" s="17" t="n"/>
      <c r="E204" s="19" t="n"/>
      <c r="F204" s="19" t="n"/>
      <c r="G204">
        <f>IF(OR(A204="",D204=""),"",IF(E204="Presentada","",D204-Parametros!$B$2))</f>
        <v/>
      </c>
      <c r="H204">
        <f>IF(OR(A204="",D204=""),"",IF(E204="Presentada","CUMPLIDA",IF(G204&lt;0,"VENCIDA",IF(G204&lt;=5,"URGENTE",IF(G204&lt;=15,"PRÓXIMA","OK")))))</f>
        <v/>
      </c>
      <c r="I204" s="19" t="n"/>
    </row>
    <row r="205">
      <c r="A205" s="19" t="n"/>
      <c r="B205" s="19" t="n"/>
      <c r="C205" s="19" t="n"/>
      <c r="D205" s="17" t="n"/>
      <c r="E205" s="19" t="n"/>
      <c r="F205" s="19" t="n"/>
      <c r="G205">
        <f>IF(OR(A205="",D205=""),"",IF(E205="Presentada","",D205-Parametros!$B$2))</f>
        <v/>
      </c>
      <c r="H205">
        <f>IF(OR(A205="",D205=""),"",IF(E205="Presentada","CUMPLIDA",IF(G205&lt;0,"VENCIDA",IF(G205&lt;=5,"URGENTE",IF(G205&lt;=15,"PRÓXIMA","OK")))))</f>
        <v/>
      </c>
      <c r="I205" s="19" t="n"/>
    </row>
    <row r="206">
      <c r="A206" s="19" t="n"/>
      <c r="B206" s="19" t="n"/>
      <c r="C206" s="19" t="n"/>
      <c r="D206" s="17" t="n"/>
      <c r="E206" s="19" t="n"/>
      <c r="F206" s="19" t="n"/>
      <c r="G206">
        <f>IF(OR(A206="",D206=""),"",IF(E206="Presentada","",D206-Parametros!$B$2))</f>
        <v/>
      </c>
      <c r="H206">
        <f>IF(OR(A206="",D206=""),"",IF(E206="Presentada","CUMPLIDA",IF(G206&lt;0,"VENCIDA",IF(G206&lt;=5,"URGENTE",IF(G206&lt;=15,"PRÓXIMA","OK")))))</f>
        <v/>
      </c>
      <c r="I206" s="19" t="n"/>
    </row>
    <row r="207">
      <c r="A207" s="19" t="n"/>
      <c r="B207" s="19" t="n"/>
      <c r="C207" s="19" t="n"/>
      <c r="D207" s="17" t="n"/>
      <c r="E207" s="19" t="n"/>
      <c r="F207" s="19" t="n"/>
      <c r="G207">
        <f>IF(OR(A207="",D207=""),"",IF(E207="Presentada","",D207-Parametros!$B$2))</f>
        <v/>
      </c>
      <c r="H207">
        <f>IF(OR(A207="",D207=""),"",IF(E207="Presentada","CUMPLIDA",IF(G207&lt;0,"VENCIDA",IF(G207&lt;=5,"URGENTE",IF(G207&lt;=15,"PRÓXIMA","OK")))))</f>
        <v/>
      </c>
      <c r="I207" s="19" t="n"/>
    </row>
    <row r="208">
      <c r="A208" s="19" t="n"/>
      <c r="B208" s="19" t="n"/>
      <c r="C208" s="19" t="n"/>
      <c r="D208" s="17" t="n"/>
      <c r="E208" s="19" t="n"/>
      <c r="F208" s="19" t="n"/>
      <c r="G208">
        <f>IF(OR(A208="",D208=""),"",IF(E208="Presentada","",D208-Parametros!$B$2))</f>
        <v/>
      </c>
      <c r="H208">
        <f>IF(OR(A208="",D208=""),"",IF(E208="Presentada","CUMPLIDA",IF(G208&lt;0,"VENCIDA",IF(G208&lt;=5,"URGENTE",IF(G208&lt;=15,"PRÓXIMA","OK")))))</f>
        <v/>
      </c>
      <c r="I208" s="19" t="n"/>
    </row>
    <row r="209">
      <c r="A209" s="19" t="n"/>
      <c r="B209" s="19" t="n"/>
      <c r="C209" s="19" t="n"/>
      <c r="D209" s="17" t="n"/>
      <c r="E209" s="19" t="n"/>
      <c r="F209" s="19" t="n"/>
      <c r="G209">
        <f>IF(OR(A209="",D209=""),"",IF(E209="Presentada","",D209-Parametros!$B$2))</f>
        <v/>
      </c>
      <c r="H209">
        <f>IF(OR(A209="",D209=""),"",IF(E209="Presentada","CUMPLIDA",IF(G209&lt;0,"VENCIDA",IF(G209&lt;=5,"URGENTE",IF(G209&lt;=15,"PRÓXIMA","OK")))))</f>
        <v/>
      </c>
      <c r="I209" s="19" t="n"/>
    </row>
    <row r="210">
      <c r="A210" s="19" t="n"/>
      <c r="B210" s="19" t="n"/>
      <c r="C210" s="19" t="n"/>
      <c r="D210" s="17" t="n"/>
      <c r="E210" s="19" t="n"/>
      <c r="F210" s="19" t="n"/>
      <c r="G210">
        <f>IF(OR(A210="",D210=""),"",IF(E210="Presentada","",D210-Parametros!$B$2))</f>
        <v/>
      </c>
      <c r="H210">
        <f>IF(OR(A210="",D210=""),"",IF(E210="Presentada","CUMPLIDA",IF(G210&lt;0,"VENCIDA",IF(G210&lt;=5,"URGENTE",IF(G210&lt;=15,"PRÓXIMA","OK")))))</f>
        <v/>
      </c>
      <c r="I210" s="19" t="n"/>
    </row>
    <row r="211">
      <c r="A211" s="19" t="n"/>
      <c r="B211" s="19" t="n"/>
      <c r="C211" s="19" t="n"/>
      <c r="D211" s="17" t="n"/>
      <c r="E211" s="19" t="n"/>
      <c r="F211" s="19" t="n"/>
      <c r="G211">
        <f>IF(OR(A211="",D211=""),"",IF(E211="Presentada","",D211-Parametros!$B$2))</f>
        <v/>
      </c>
      <c r="H211">
        <f>IF(OR(A211="",D211=""),"",IF(E211="Presentada","CUMPLIDA",IF(G211&lt;0,"VENCIDA",IF(G211&lt;=5,"URGENTE",IF(G211&lt;=15,"PRÓXIMA","OK")))))</f>
        <v/>
      </c>
      <c r="I211" s="19" t="n"/>
    </row>
    <row r="212">
      <c r="A212" s="19" t="n"/>
      <c r="B212" s="19" t="n"/>
      <c r="C212" s="19" t="n"/>
      <c r="D212" s="17" t="n"/>
      <c r="E212" s="19" t="n"/>
      <c r="F212" s="19" t="n"/>
      <c r="G212">
        <f>IF(OR(A212="",D212=""),"",IF(E212="Presentada","",D212-Parametros!$B$2))</f>
        <v/>
      </c>
      <c r="H212">
        <f>IF(OR(A212="",D212=""),"",IF(E212="Presentada","CUMPLIDA",IF(G212&lt;0,"VENCIDA",IF(G212&lt;=5,"URGENTE",IF(G212&lt;=15,"PRÓXIMA","OK")))))</f>
        <v/>
      </c>
      <c r="I212" s="19" t="n"/>
    </row>
    <row r="213">
      <c r="A213" s="19" t="n"/>
      <c r="B213" s="19" t="n"/>
      <c r="C213" s="19" t="n"/>
      <c r="D213" s="17" t="n"/>
      <c r="E213" s="19" t="n"/>
      <c r="F213" s="19" t="n"/>
      <c r="G213">
        <f>IF(OR(A213="",D213=""),"",IF(E213="Presentada","",D213-Parametros!$B$2))</f>
        <v/>
      </c>
      <c r="H213">
        <f>IF(OR(A213="",D213=""),"",IF(E213="Presentada","CUMPLIDA",IF(G213&lt;0,"VENCIDA",IF(G213&lt;=5,"URGENTE",IF(G213&lt;=15,"PRÓXIMA","OK")))))</f>
        <v/>
      </c>
      <c r="I213" s="19" t="n"/>
    </row>
    <row r="214">
      <c r="A214" s="19" t="n"/>
      <c r="B214" s="19" t="n"/>
      <c r="C214" s="19" t="n"/>
      <c r="D214" s="17" t="n"/>
      <c r="E214" s="19" t="n"/>
      <c r="F214" s="19" t="n"/>
      <c r="G214">
        <f>IF(OR(A214="",D214=""),"",IF(E214="Presentada","",D214-Parametros!$B$2))</f>
        <v/>
      </c>
      <c r="H214">
        <f>IF(OR(A214="",D214=""),"",IF(E214="Presentada","CUMPLIDA",IF(G214&lt;0,"VENCIDA",IF(G214&lt;=5,"URGENTE",IF(G214&lt;=15,"PRÓXIMA","OK")))))</f>
        <v/>
      </c>
      <c r="I214" s="19" t="n"/>
    </row>
    <row r="215">
      <c r="A215" s="19" t="n"/>
      <c r="B215" s="19" t="n"/>
      <c r="C215" s="19" t="n"/>
      <c r="D215" s="17" t="n"/>
      <c r="E215" s="19" t="n"/>
      <c r="F215" s="19" t="n"/>
      <c r="G215">
        <f>IF(OR(A215="",D215=""),"",IF(E215="Presentada","",D215-Parametros!$B$2))</f>
        <v/>
      </c>
      <c r="H215">
        <f>IF(OR(A215="",D215=""),"",IF(E215="Presentada","CUMPLIDA",IF(G215&lt;0,"VENCIDA",IF(G215&lt;=5,"URGENTE",IF(G215&lt;=15,"PRÓXIMA","OK")))))</f>
        <v/>
      </c>
      <c r="I215" s="19" t="n"/>
    </row>
    <row r="216">
      <c r="A216" s="19" t="n"/>
      <c r="B216" s="19" t="n"/>
      <c r="C216" s="19" t="n"/>
      <c r="D216" s="17" t="n"/>
      <c r="E216" s="19" t="n"/>
      <c r="F216" s="19" t="n"/>
      <c r="G216">
        <f>IF(OR(A216="",D216=""),"",IF(E216="Presentada","",D216-Parametros!$B$2))</f>
        <v/>
      </c>
      <c r="H216">
        <f>IF(OR(A216="",D216=""),"",IF(E216="Presentada","CUMPLIDA",IF(G216&lt;0,"VENCIDA",IF(G216&lt;=5,"URGENTE",IF(G216&lt;=15,"PRÓXIMA","OK")))))</f>
        <v/>
      </c>
      <c r="I216" s="19" t="n"/>
    </row>
    <row r="217">
      <c r="A217" s="19" t="n"/>
      <c r="B217" s="19" t="n"/>
      <c r="C217" s="19" t="n"/>
      <c r="D217" s="17" t="n"/>
      <c r="E217" s="19" t="n"/>
      <c r="F217" s="19" t="n"/>
      <c r="G217">
        <f>IF(OR(A217="",D217=""),"",IF(E217="Presentada","",D217-Parametros!$B$2))</f>
        <v/>
      </c>
      <c r="H217">
        <f>IF(OR(A217="",D217=""),"",IF(E217="Presentada","CUMPLIDA",IF(G217&lt;0,"VENCIDA",IF(G217&lt;=5,"URGENTE",IF(G217&lt;=15,"PRÓXIMA","OK")))))</f>
        <v/>
      </c>
      <c r="I217" s="19" t="n"/>
    </row>
    <row r="218">
      <c r="A218" s="19" t="n"/>
      <c r="B218" s="19" t="n"/>
      <c r="C218" s="19" t="n"/>
      <c r="D218" s="17" t="n"/>
      <c r="E218" s="19" t="n"/>
      <c r="F218" s="19" t="n"/>
      <c r="G218">
        <f>IF(OR(A218="",D218=""),"",IF(E218="Presentada","",D218-Parametros!$B$2))</f>
        <v/>
      </c>
      <c r="H218">
        <f>IF(OR(A218="",D218=""),"",IF(E218="Presentada","CUMPLIDA",IF(G218&lt;0,"VENCIDA",IF(G218&lt;=5,"URGENTE",IF(G218&lt;=15,"PRÓXIMA","OK")))))</f>
        <v/>
      </c>
      <c r="I218" s="19" t="n"/>
    </row>
    <row r="219">
      <c r="A219" s="19" t="n"/>
      <c r="B219" s="19" t="n"/>
      <c r="C219" s="19" t="n"/>
      <c r="D219" s="17" t="n"/>
      <c r="E219" s="19" t="n"/>
      <c r="F219" s="19" t="n"/>
      <c r="G219">
        <f>IF(OR(A219="",D219=""),"",IF(E219="Presentada","",D219-Parametros!$B$2))</f>
        <v/>
      </c>
      <c r="H219">
        <f>IF(OR(A219="",D219=""),"",IF(E219="Presentada","CUMPLIDA",IF(G219&lt;0,"VENCIDA",IF(G219&lt;=5,"URGENTE",IF(G219&lt;=15,"PRÓXIMA","OK")))))</f>
        <v/>
      </c>
      <c r="I219" s="19" t="n"/>
    </row>
    <row r="220">
      <c r="A220" s="19" t="n"/>
      <c r="B220" s="19" t="n"/>
      <c r="C220" s="19" t="n"/>
      <c r="D220" s="17" t="n"/>
      <c r="E220" s="19" t="n"/>
      <c r="F220" s="19" t="n"/>
      <c r="G220">
        <f>IF(OR(A220="",D220=""),"",IF(E220="Presentada","",D220-Parametros!$B$2))</f>
        <v/>
      </c>
      <c r="H220">
        <f>IF(OR(A220="",D220=""),"",IF(E220="Presentada","CUMPLIDA",IF(G220&lt;0,"VENCIDA",IF(G220&lt;=5,"URGENTE",IF(G220&lt;=15,"PRÓXIMA","OK")))))</f>
        <v/>
      </c>
      <c r="I220" s="19" t="n"/>
    </row>
    <row r="221">
      <c r="A221" s="19" t="n"/>
      <c r="B221" s="19" t="n"/>
      <c r="C221" s="19" t="n"/>
      <c r="D221" s="17" t="n"/>
      <c r="E221" s="19" t="n"/>
      <c r="F221" s="19" t="n"/>
      <c r="G221">
        <f>IF(OR(A221="",D221=""),"",IF(E221="Presentada","",D221-Parametros!$B$2))</f>
        <v/>
      </c>
      <c r="H221">
        <f>IF(OR(A221="",D221=""),"",IF(E221="Presentada","CUMPLIDA",IF(G221&lt;0,"VENCIDA",IF(G221&lt;=5,"URGENTE",IF(G221&lt;=15,"PRÓXIMA","OK")))))</f>
        <v/>
      </c>
      <c r="I221" s="19" t="n"/>
    </row>
    <row r="222">
      <c r="A222" s="19" t="n"/>
      <c r="B222" s="19" t="n"/>
      <c r="C222" s="19" t="n"/>
      <c r="D222" s="17" t="n"/>
      <c r="E222" s="19" t="n"/>
      <c r="F222" s="19" t="n"/>
      <c r="G222">
        <f>IF(OR(A222="",D222=""),"",IF(E222="Presentada","",D222-Parametros!$B$2))</f>
        <v/>
      </c>
      <c r="H222">
        <f>IF(OR(A222="",D222=""),"",IF(E222="Presentada","CUMPLIDA",IF(G222&lt;0,"VENCIDA",IF(G222&lt;=5,"URGENTE",IF(G222&lt;=15,"PRÓXIMA","OK")))))</f>
        <v/>
      </c>
      <c r="I222" s="19" t="n"/>
    </row>
    <row r="223">
      <c r="A223" s="19" t="n"/>
      <c r="B223" s="19" t="n"/>
      <c r="C223" s="19" t="n"/>
      <c r="D223" s="17" t="n"/>
      <c r="E223" s="19" t="n"/>
      <c r="F223" s="19" t="n"/>
      <c r="G223">
        <f>IF(OR(A223="",D223=""),"",IF(E223="Presentada","",D223-Parametros!$B$2))</f>
        <v/>
      </c>
      <c r="H223">
        <f>IF(OR(A223="",D223=""),"",IF(E223="Presentada","CUMPLIDA",IF(G223&lt;0,"VENCIDA",IF(G223&lt;=5,"URGENTE",IF(G223&lt;=15,"PRÓXIMA","OK")))))</f>
        <v/>
      </c>
      <c r="I223" s="19" t="n"/>
    </row>
    <row r="224">
      <c r="A224" s="19" t="n"/>
      <c r="B224" s="19" t="n"/>
      <c r="C224" s="19" t="n"/>
      <c r="D224" s="17" t="n"/>
      <c r="E224" s="19" t="n"/>
      <c r="F224" s="19" t="n"/>
      <c r="G224">
        <f>IF(OR(A224="",D224=""),"",IF(E224="Presentada","",D224-Parametros!$B$2))</f>
        <v/>
      </c>
      <c r="H224">
        <f>IF(OR(A224="",D224=""),"",IF(E224="Presentada","CUMPLIDA",IF(G224&lt;0,"VENCIDA",IF(G224&lt;=5,"URGENTE",IF(G224&lt;=15,"PRÓXIMA","OK")))))</f>
        <v/>
      </c>
      <c r="I224" s="19" t="n"/>
    </row>
    <row r="225">
      <c r="A225" s="19" t="n"/>
      <c r="B225" s="19" t="n"/>
      <c r="C225" s="19" t="n"/>
      <c r="D225" s="17" t="n"/>
      <c r="E225" s="19" t="n"/>
      <c r="F225" s="19" t="n"/>
      <c r="G225">
        <f>IF(OR(A225="",D225=""),"",IF(E225="Presentada","",D225-Parametros!$B$2))</f>
        <v/>
      </c>
      <c r="H225">
        <f>IF(OR(A225="",D225=""),"",IF(E225="Presentada","CUMPLIDA",IF(G225&lt;0,"VENCIDA",IF(G225&lt;=5,"URGENTE",IF(G225&lt;=15,"PRÓXIMA","OK")))))</f>
        <v/>
      </c>
      <c r="I225" s="19" t="n"/>
    </row>
    <row r="226">
      <c r="A226" s="19" t="n"/>
      <c r="B226" s="19" t="n"/>
      <c r="C226" s="19" t="n"/>
      <c r="D226" s="17" t="n"/>
      <c r="E226" s="19" t="n"/>
      <c r="F226" s="19" t="n"/>
      <c r="G226">
        <f>IF(OR(A226="",D226=""),"",IF(E226="Presentada","",D226-Parametros!$B$2))</f>
        <v/>
      </c>
      <c r="H226">
        <f>IF(OR(A226="",D226=""),"",IF(E226="Presentada","CUMPLIDA",IF(G226&lt;0,"VENCIDA",IF(G226&lt;=5,"URGENTE",IF(G226&lt;=15,"PRÓXIMA","OK")))))</f>
        <v/>
      </c>
      <c r="I226" s="19" t="n"/>
    </row>
    <row r="227">
      <c r="A227" s="19" t="n"/>
      <c r="B227" s="19" t="n"/>
      <c r="C227" s="19" t="n"/>
      <c r="D227" s="17" t="n"/>
      <c r="E227" s="19" t="n"/>
      <c r="F227" s="19" t="n"/>
      <c r="G227">
        <f>IF(OR(A227="",D227=""),"",IF(E227="Presentada","",D227-Parametros!$B$2))</f>
        <v/>
      </c>
      <c r="H227">
        <f>IF(OR(A227="",D227=""),"",IF(E227="Presentada","CUMPLIDA",IF(G227&lt;0,"VENCIDA",IF(G227&lt;=5,"URGENTE",IF(G227&lt;=15,"PRÓXIMA","OK")))))</f>
        <v/>
      </c>
      <c r="I227" s="19" t="n"/>
    </row>
    <row r="228">
      <c r="A228" s="19" t="n"/>
      <c r="B228" s="19" t="n"/>
      <c r="C228" s="19" t="n"/>
      <c r="D228" s="17" t="n"/>
      <c r="E228" s="19" t="n"/>
      <c r="F228" s="19" t="n"/>
      <c r="G228">
        <f>IF(OR(A228="",D228=""),"",IF(E228="Presentada","",D228-Parametros!$B$2))</f>
        <v/>
      </c>
      <c r="H228">
        <f>IF(OR(A228="",D228=""),"",IF(E228="Presentada","CUMPLIDA",IF(G228&lt;0,"VENCIDA",IF(G228&lt;=5,"URGENTE",IF(G228&lt;=15,"PRÓXIMA","OK")))))</f>
        <v/>
      </c>
      <c r="I228" s="19" t="n"/>
    </row>
    <row r="229">
      <c r="A229" s="19" t="n"/>
      <c r="B229" s="19" t="n"/>
      <c r="C229" s="19" t="n"/>
      <c r="D229" s="17" t="n"/>
      <c r="E229" s="19" t="n"/>
      <c r="F229" s="19" t="n"/>
      <c r="G229">
        <f>IF(OR(A229="",D229=""),"",IF(E229="Presentada","",D229-Parametros!$B$2))</f>
        <v/>
      </c>
      <c r="H229">
        <f>IF(OR(A229="",D229=""),"",IF(E229="Presentada","CUMPLIDA",IF(G229&lt;0,"VENCIDA",IF(G229&lt;=5,"URGENTE",IF(G229&lt;=15,"PRÓXIMA","OK")))))</f>
        <v/>
      </c>
      <c r="I229" s="19" t="n"/>
    </row>
    <row r="230">
      <c r="A230" s="19" t="n"/>
      <c r="B230" s="19" t="n"/>
      <c r="C230" s="19" t="n"/>
      <c r="D230" s="17" t="n"/>
      <c r="E230" s="19" t="n"/>
      <c r="F230" s="19" t="n"/>
      <c r="G230">
        <f>IF(OR(A230="",D230=""),"",IF(E230="Presentada","",D230-Parametros!$B$2))</f>
        <v/>
      </c>
      <c r="H230">
        <f>IF(OR(A230="",D230=""),"",IF(E230="Presentada","CUMPLIDA",IF(G230&lt;0,"VENCIDA",IF(G230&lt;=5,"URGENTE",IF(G230&lt;=15,"PRÓXIMA","OK")))))</f>
        <v/>
      </c>
      <c r="I230" s="19" t="n"/>
    </row>
    <row r="231">
      <c r="A231" s="19" t="n"/>
      <c r="B231" s="19" t="n"/>
      <c r="C231" s="19" t="n"/>
      <c r="D231" s="17" t="n"/>
      <c r="E231" s="19" t="n"/>
      <c r="F231" s="19" t="n"/>
      <c r="G231">
        <f>IF(OR(A231="",D231=""),"",IF(E231="Presentada","",D231-Parametros!$B$2))</f>
        <v/>
      </c>
      <c r="H231">
        <f>IF(OR(A231="",D231=""),"",IF(E231="Presentada","CUMPLIDA",IF(G231&lt;0,"VENCIDA",IF(G231&lt;=5,"URGENTE",IF(G231&lt;=15,"PRÓXIMA","OK")))))</f>
        <v/>
      </c>
      <c r="I231" s="19" t="n"/>
    </row>
    <row r="232">
      <c r="A232" s="19" t="n"/>
      <c r="B232" s="19" t="n"/>
      <c r="C232" s="19" t="n"/>
      <c r="D232" s="17" t="n"/>
      <c r="E232" s="19" t="n"/>
      <c r="F232" s="19" t="n"/>
      <c r="G232">
        <f>IF(OR(A232="",D232=""),"",IF(E232="Presentada","",D232-Parametros!$B$2))</f>
        <v/>
      </c>
      <c r="H232">
        <f>IF(OR(A232="",D232=""),"",IF(E232="Presentada","CUMPLIDA",IF(G232&lt;0,"VENCIDA",IF(G232&lt;=5,"URGENTE",IF(G232&lt;=15,"PRÓXIMA","OK")))))</f>
        <v/>
      </c>
      <c r="I232" s="19" t="n"/>
    </row>
    <row r="233">
      <c r="A233" s="19" t="n"/>
      <c r="B233" s="19" t="n"/>
      <c r="C233" s="19" t="n"/>
      <c r="D233" s="17" t="n"/>
      <c r="E233" s="19" t="n"/>
      <c r="F233" s="19" t="n"/>
      <c r="G233">
        <f>IF(OR(A233="",D233=""),"",IF(E233="Presentada","",D233-Parametros!$B$2))</f>
        <v/>
      </c>
      <c r="H233">
        <f>IF(OR(A233="",D233=""),"",IF(E233="Presentada","CUMPLIDA",IF(G233&lt;0,"VENCIDA",IF(G233&lt;=5,"URGENTE",IF(G233&lt;=15,"PRÓXIMA","OK")))))</f>
        <v/>
      </c>
      <c r="I233" s="19" t="n"/>
    </row>
    <row r="234">
      <c r="A234" s="19" t="n"/>
      <c r="B234" s="19" t="n"/>
      <c r="C234" s="19" t="n"/>
      <c r="D234" s="17" t="n"/>
      <c r="E234" s="19" t="n"/>
      <c r="F234" s="19" t="n"/>
      <c r="G234">
        <f>IF(OR(A234="",D234=""),"",IF(E234="Presentada","",D234-Parametros!$B$2))</f>
        <v/>
      </c>
      <c r="H234">
        <f>IF(OR(A234="",D234=""),"",IF(E234="Presentada","CUMPLIDA",IF(G234&lt;0,"VENCIDA",IF(G234&lt;=5,"URGENTE",IF(G234&lt;=15,"PRÓXIMA","OK")))))</f>
        <v/>
      </c>
      <c r="I234" s="19" t="n"/>
    </row>
    <row r="235">
      <c r="A235" s="19" t="n"/>
      <c r="B235" s="19" t="n"/>
      <c r="C235" s="19" t="n"/>
      <c r="D235" s="17" t="n"/>
      <c r="E235" s="19" t="n"/>
      <c r="F235" s="19" t="n"/>
      <c r="G235">
        <f>IF(OR(A235="",D235=""),"",IF(E235="Presentada","",D235-Parametros!$B$2))</f>
        <v/>
      </c>
      <c r="H235">
        <f>IF(OR(A235="",D235=""),"",IF(E235="Presentada","CUMPLIDA",IF(G235&lt;0,"VENCIDA",IF(G235&lt;=5,"URGENTE",IF(G235&lt;=15,"PRÓXIMA","OK")))))</f>
        <v/>
      </c>
      <c r="I235" s="19" t="n"/>
    </row>
    <row r="236">
      <c r="A236" s="19" t="n"/>
      <c r="B236" s="19" t="n"/>
      <c r="C236" s="19" t="n"/>
      <c r="D236" s="17" t="n"/>
      <c r="E236" s="19" t="n"/>
      <c r="F236" s="19" t="n"/>
      <c r="G236">
        <f>IF(OR(A236="",D236=""),"",IF(E236="Presentada","",D236-Parametros!$B$2))</f>
        <v/>
      </c>
      <c r="H236">
        <f>IF(OR(A236="",D236=""),"",IF(E236="Presentada","CUMPLIDA",IF(G236&lt;0,"VENCIDA",IF(G236&lt;=5,"URGENTE",IF(G236&lt;=15,"PRÓXIMA","OK")))))</f>
        <v/>
      </c>
      <c r="I236" s="19" t="n"/>
    </row>
    <row r="237">
      <c r="A237" s="19" t="n"/>
      <c r="B237" s="19" t="n"/>
      <c r="C237" s="19" t="n"/>
      <c r="D237" s="17" t="n"/>
      <c r="E237" s="19" t="n"/>
      <c r="F237" s="19" t="n"/>
      <c r="G237">
        <f>IF(OR(A237="",D237=""),"",IF(E237="Presentada","",D237-Parametros!$B$2))</f>
        <v/>
      </c>
      <c r="H237">
        <f>IF(OR(A237="",D237=""),"",IF(E237="Presentada","CUMPLIDA",IF(G237&lt;0,"VENCIDA",IF(G237&lt;=5,"URGENTE",IF(G237&lt;=15,"PRÓXIMA","OK")))))</f>
        <v/>
      </c>
      <c r="I237" s="19" t="n"/>
    </row>
    <row r="238">
      <c r="A238" s="19" t="n"/>
      <c r="B238" s="19" t="n"/>
      <c r="C238" s="19" t="n"/>
      <c r="D238" s="17" t="n"/>
      <c r="E238" s="19" t="n"/>
      <c r="F238" s="19" t="n"/>
      <c r="G238">
        <f>IF(OR(A238="",D238=""),"",IF(E238="Presentada","",D238-Parametros!$B$2))</f>
        <v/>
      </c>
      <c r="H238">
        <f>IF(OR(A238="",D238=""),"",IF(E238="Presentada","CUMPLIDA",IF(G238&lt;0,"VENCIDA",IF(G238&lt;=5,"URGENTE",IF(G238&lt;=15,"PRÓXIMA","OK")))))</f>
        <v/>
      </c>
      <c r="I238" s="19" t="n"/>
    </row>
    <row r="239">
      <c r="A239" s="19" t="n"/>
      <c r="B239" s="19" t="n"/>
      <c r="C239" s="19" t="n"/>
      <c r="D239" s="17" t="n"/>
      <c r="E239" s="19" t="n"/>
      <c r="F239" s="19" t="n"/>
      <c r="G239">
        <f>IF(OR(A239="",D239=""),"",IF(E239="Presentada","",D239-Parametros!$B$2))</f>
        <v/>
      </c>
      <c r="H239">
        <f>IF(OR(A239="",D239=""),"",IF(E239="Presentada","CUMPLIDA",IF(G239&lt;0,"VENCIDA",IF(G239&lt;=5,"URGENTE",IF(G239&lt;=15,"PRÓXIMA","OK")))))</f>
        <v/>
      </c>
      <c r="I239" s="19" t="n"/>
    </row>
    <row r="240">
      <c r="A240" s="19" t="n"/>
      <c r="B240" s="19" t="n"/>
      <c r="C240" s="19" t="n"/>
      <c r="D240" s="17" t="n"/>
      <c r="E240" s="19" t="n"/>
      <c r="F240" s="19" t="n"/>
      <c r="G240">
        <f>IF(OR(A240="",D240=""),"",IF(E240="Presentada","",D240-Parametros!$B$2))</f>
        <v/>
      </c>
      <c r="H240">
        <f>IF(OR(A240="",D240=""),"",IF(E240="Presentada","CUMPLIDA",IF(G240&lt;0,"VENCIDA",IF(G240&lt;=5,"URGENTE",IF(G240&lt;=15,"PRÓXIMA","OK")))))</f>
        <v/>
      </c>
      <c r="I240" s="19" t="n"/>
    </row>
    <row r="241">
      <c r="A241" s="19" t="n"/>
      <c r="B241" s="19" t="n"/>
      <c r="C241" s="19" t="n"/>
      <c r="D241" s="17" t="n"/>
      <c r="E241" s="19" t="n"/>
      <c r="F241" s="19" t="n"/>
      <c r="G241">
        <f>IF(OR(A241="",D241=""),"",IF(E241="Presentada","",D241-Parametros!$B$2))</f>
        <v/>
      </c>
      <c r="H241">
        <f>IF(OR(A241="",D241=""),"",IF(E241="Presentada","CUMPLIDA",IF(G241&lt;0,"VENCIDA",IF(G241&lt;=5,"URGENTE",IF(G241&lt;=15,"PRÓXIMA","OK")))))</f>
        <v/>
      </c>
      <c r="I241" s="19" t="n"/>
    </row>
    <row r="242">
      <c r="A242" s="19" t="n"/>
      <c r="B242" s="19" t="n"/>
      <c r="C242" s="19" t="n"/>
      <c r="D242" s="17" t="n"/>
      <c r="E242" s="19" t="n"/>
      <c r="F242" s="19" t="n"/>
      <c r="G242">
        <f>IF(OR(A242="",D242=""),"",IF(E242="Presentada","",D242-Parametros!$B$2))</f>
        <v/>
      </c>
      <c r="H242">
        <f>IF(OR(A242="",D242=""),"",IF(E242="Presentada","CUMPLIDA",IF(G242&lt;0,"VENCIDA",IF(G242&lt;=5,"URGENTE",IF(G242&lt;=15,"PRÓXIMA","OK")))))</f>
        <v/>
      </c>
      <c r="I242" s="19" t="n"/>
    </row>
    <row r="243">
      <c r="A243" s="19" t="n"/>
      <c r="B243" s="19" t="n"/>
      <c r="C243" s="19" t="n"/>
      <c r="D243" s="17" t="n"/>
      <c r="E243" s="19" t="n"/>
      <c r="F243" s="19" t="n"/>
      <c r="G243">
        <f>IF(OR(A243="",D243=""),"",IF(E243="Presentada","",D243-Parametros!$B$2))</f>
        <v/>
      </c>
      <c r="H243">
        <f>IF(OR(A243="",D243=""),"",IF(E243="Presentada","CUMPLIDA",IF(G243&lt;0,"VENCIDA",IF(G243&lt;=5,"URGENTE",IF(G243&lt;=15,"PRÓXIMA","OK")))))</f>
        <v/>
      </c>
      <c r="I243" s="19" t="n"/>
    </row>
    <row r="244">
      <c r="A244" s="19" t="n"/>
      <c r="B244" s="19" t="n"/>
      <c r="C244" s="19" t="n"/>
      <c r="D244" s="17" t="n"/>
      <c r="E244" s="19" t="n"/>
      <c r="F244" s="19" t="n"/>
      <c r="G244">
        <f>IF(OR(A244="",D244=""),"",IF(E244="Presentada","",D244-Parametros!$B$2))</f>
        <v/>
      </c>
      <c r="H244">
        <f>IF(OR(A244="",D244=""),"",IF(E244="Presentada","CUMPLIDA",IF(G244&lt;0,"VENCIDA",IF(G244&lt;=5,"URGENTE",IF(G244&lt;=15,"PRÓXIMA","OK")))))</f>
        <v/>
      </c>
      <c r="I244" s="19" t="n"/>
    </row>
    <row r="245">
      <c r="A245" s="19" t="n"/>
      <c r="B245" s="19" t="n"/>
      <c r="C245" s="19" t="n"/>
      <c r="D245" s="17" t="n"/>
      <c r="E245" s="19" t="n"/>
      <c r="F245" s="19" t="n"/>
      <c r="G245">
        <f>IF(OR(A245="",D245=""),"",IF(E245="Presentada","",D245-Parametros!$B$2))</f>
        <v/>
      </c>
      <c r="H245">
        <f>IF(OR(A245="",D245=""),"",IF(E245="Presentada","CUMPLIDA",IF(G245&lt;0,"VENCIDA",IF(G245&lt;=5,"URGENTE",IF(G245&lt;=15,"PRÓXIMA","OK")))))</f>
        <v/>
      </c>
      <c r="I245" s="19" t="n"/>
    </row>
    <row r="246">
      <c r="A246" s="19" t="n"/>
      <c r="B246" s="19" t="n"/>
      <c r="C246" s="19" t="n"/>
      <c r="D246" s="17" t="n"/>
      <c r="E246" s="19" t="n"/>
      <c r="F246" s="19" t="n"/>
      <c r="G246">
        <f>IF(OR(A246="",D246=""),"",IF(E246="Presentada","",D246-Parametros!$B$2))</f>
        <v/>
      </c>
      <c r="H246">
        <f>IF(OR(A246="",D246=""),"",IF(E246="Presentada","CUMPLIDA",IF(G246&lt;0,"VENCIDA",IF(G246&lt;=5,"URGENTE",IF(G246&lt;=15,"PRÓXIMA","OK")))))</f>
        <v/>
      </c>
      <c r="I246" s="19" t="n"/>
    </row>
    <row r="247">
      <c r="A247" s="19" t="n"/>
      <c r="B247" s="19" t="n"/>
      <c r="C247" s="19" t="n"/>
      <c r="D247" s="17" t="n"/>
      <c r="E247" s="19" t="n"/>
      <c r="F247" s="19" t="n"/>
      <c r="G247">
        <f>IF(OR(A247="",D247=""),"",IF(E247="Presentada","",D247-Parametros!$B$2))</f>
        <v/>
      </c>
      <c r="H247">
        <f>IF(OR(A247="",D247=""),"",IF(E247="Presentada","CUMPLIDA",IF(G247&lt;0,"VENCIDA",IF(G247&lt;=5,"URGENTE",IF(G247&lt;=15,"PRÓXIMA","OK")))))</f>
        <v/>
      </c>
      <c r="I247" s="19" t="n"/>
    </row>
    <row r="248">
      <c r="A248" s="19" t="n"/>
      <c r="B248" s="19" t="n"/>
      <c r="C248" s="19" t="n"/>
      <c r="D248" s="17" t="n"/>
      <c r="E248" s="19" t="n"/>
      <c r="F248" s="19" t="n"/>
      <c r="G248">
        <f>IF(OR(A248="",D248=""),"",IF(E248="Presentada","",D248-Parametros!$B$2))</f>
        <v/>
      </c>
      <c r="H248">
        <f>IF(OR(A248="",D248=""),"",IF(E248="Presentada","CUMPLIDA",IF(G248&lt;0,"VENCIDA",IF(G248&lt;=5,"URGENTE",IF(G248&lt;=15,"PRÓXIMA","OK")))))</f>
        <v/>
      </c>
      <c r="I248" s="19" t="n"/>
    </row>
    <row r="249">
      <c r="A249" s="19" t="n"/>
      <c r="B249" s="19" t="n"/>
      <c r="C249" s="19" t="n"/>
      <c r="D249" s="17" t="n"/>
      <c r="E249" s="19" t="n"/>
      <c r="F249" s="19" t="n"/>
      <c r="G249">
        <f>IF(OR(A249="",D249=""),"",IF(E249="Presentada","",D249-Parametros!$B$2))</f>
        <v/>
      </c>
      <c r="H249">
        <f>IF(OR(A249="",D249=""),"",IF(E249="Presentada","CUMPLIDA",IF(G249&lt;0,"VENCIDA",IF(G249&lt;=5,"URGENTE",IF(G249&lt;=15,"PRÓXIMA","OK")))))</f>
        <v/>
      </c>
      <c r="I249" s="19" t="n"/>
    </row>
    <row r="250">
      <c r="A250" s="19" t="n"/>
      <c r="B250" s="19" t="n"/>
      <c r="C250" s="19" t="n"/>
      <c r="D250" s="17" t="n"/>
      <c r="E250" s="19" t="n"/>
      <c r="F250" s="19" t="n"/>
      <c r="G250">
        <f>IF(OR(A250="",D250=""),"",IF(E250="Presentada","",D250-Parametros!$B$2))</f>
        <v/>
      </c>
      <c r="H250">
        <f>IF(OR(A250="",D250=""),"",IF(E250="Presentada","CUMPLIDA",IF(G250&lt;0,"VENCIDA",IF(G250&lt;=5,"URGENTE",IF(G250&lt;=15,"PRÓXIMA","OK")))))</f>
        <v/>
      </c>
      <c r="I250" s="19" t="n"/>
    </row>
    <row r="251">
      <c r="A251" s="19" t="n"/>
      <c r="B251" s="19" t="n"/>
      <c r="C251" s="19" t="n"/>
      <c r="D251" s="17" t="n"/>
      <c r="E251" s="19" t="n"/>
      <c r="F251" s="19" t="n"/>
      <c r="G251">
        <f>IF(OR(A251="",D251=""),"",IF(E251="Presentada","",D251-Parametros!$B$2))</f>
        <v/>
      </c>
      <c r="H251">
        <f>IF(OR(A251="",D251=""),"",IF(E251="Presentada","CUMPLIDA",IF(G251&lt;0,"VENCIDA",IF(G251&lt;=5,"URGENTE",IF(G251&lt;=15,"PRÓXIMA","OK")))))</f>
        <v/>
      </c>
      <c r="I251" s="19" t="n"/>
    </row>
    <row r="252">
      <c r="A252" s="19" t="n"/>
      <c r="B252" s="19" t="n"/>
      <c r="C252" s="19" t="n"/>
      <c r="D252" s="17" t="n"/>
      <c r="E252" s="19" t="n"/>
      <c r="F252" s="19" t="n"/>
      <c r="G252">
        <f>IF(OR(A252="",D252=""),"",IF(E252="Presentada","",D252-Parametros!$B$2))</f>
        <v/>
      </c>
      <c r="H252">
        <f>IF(OR(A252="",D252=""),"",IF(E252="Presentada","CUMPLIDA",IF(G252&lt;0,"VENCIDA",IF(G252&lt;=5,"URGENTE",IF(G252&lt;=15,"PRÓXIMA","OK")))))</f>
        <v/>
      </c>
      <c r="I252" s="19" t="n"/>
    </row>
    <row r="253">
      <c r="A253" s="19" t="n"/>
      <c r="B253" s="19" t="n"/>
      <c r="C253" s="19" t="n"/>
      <c r="D253" s="17" t="n"/>
      <c r="E253" s="19" t="n"/>
      <c r="F253" s="19" t="n"/>
      <c r="G253">
        <f>IF(OR(A253="",D253=""),"",IF(E253="Presentada","",D253-Parametros!$B$2))</f>
        <v/>
      </c>
      <c r="H253">
        <f>IF(OR(A253="",D253=""),"",IF(E253="Presentada","CUMPLIDA",IF(G253&lt;0,"VENCIDA",IF(G253&lt;=5,"URGENTE",IF(G253&lt;=15,"PRÓXIMA","OK")))))</f>
        <v/>
      </c>
      <c r="I253" s="19" t="n"/>
    </row>
    <row r="254">
      <c r="A254" s="19" t="n"/>
      <c r="B254" s="19" t="n"/>
      <c r="C254" s="19" t="n"/>
      <c r="D254" s="17" t="n"/>
      <c r="E254" s="19" t="n"/>
      <c r="F254" s="19" t="n"/>
      <c r="G254">
        <f>IF(OR(A254="",D254=""),"",IF(E254="Presentada","",D254-Parametros!$B$2))</f>
        <v/>
      </c>
      <c r="H254">
        <f>IF(OR(A254="",D254=""),"",IF(E254="Presentada","CUMPLIDA",IF(G254&lt;0,"VENCIDA",IF(G254&lt;=5,"URGENTE",IF(G254&lt;=15,"PRÓXIMA","OK")))))</f>
        <v/>
      </c>
      <c r="I254" s="19" t="n"/>
    </row>
    <row r="255">
      <c r="A255" s="19" t="n"/>
      <c r="B255" s="19" t="n"/>
      <c r="C255" s="19" t="n"/>
      <c r="D255" s="17" t="n"/>
      <c r="E255" s="19" t="n"/>
      <c r="F255" s="19" t="n"/>
      <c r="G255">
        <f>IF(OR(A255="",D255=""),"",IF(E255="Presentada","",D255-Parametros!$B$2))</f>
        <v/>
      </c>
      <c r="H255">
        <f>IF(OR(A255="",D255=""),"",IF(E255="Presentada","CUMPLIDA",IF(G255&lt;0,"VENCIDA",IF(G255&lt;=5,"URGENTE",IF(G255&lt;=15,"PRÓXIMA","OK")))))</f>
        <v/>
      </c>
      <c r="I255" s="19" t="n"/>
    </row>
    <row r="256">
      <c r="A256" s="19" t="n"/>
      <c r="B256" s="19" t="n"/>
      <c r="C256" s="19" t="n"/>
      <c r="D256" s="17" t="n"/>
      <c r="E256" s="19" t="n"/>
      <c r="F256" s="19" t="n"/>
      <c r="G256">
        <f>IF(OR(A256="",D256=""),"",IF(E256="Presentada","",D256-Parametros!$B$2))</f>
        <v/>
      </c>
      <c r="H256">
        <f>IF(OR(A256="",D256=""),"",IF(E256="Presentada","CUMPLIDA",IF(G256&lt;0,"VENCIDA",IF(G256&lt;=5,"URGENTE",IF(G256&lt;=15,"PRÓXIMA","OK")))))</f>
        <v/>
      </c>
      <c r="I256" s="19" t="n"/>
    </row>
    <row r="257">
      <c r="A257" s="19" t="n"/>
      <c r="B257" s="19" t="n"/>
      <c r="C257" s="19" t="n"/>
      <c r="D257" s="17" t="n"/>
      <c r="E257" s="19" t="n"/>
      <c r="F257" s="19" t="n"/>
      <c r="G257">
        <f>IF(OR(A257="",D257=""),"",IF(E257="Presentada","",D257-Parametros!$B$2))</f>
        <v/>
      </c>
      <c r="H257">
        <f>IF(OR(A257="",D257=""),"",IF(E257="Presentada","CUMPLIDA",IF(G257&lt;0,"VENCIDA",IF(G257&lt;=5,"URGENTE",IF(G257&lt;=15,"PRÓXIMA","OK")))))</f>
        <v/>
      </c>
      <c r="I257" s="19" t="n"/>
    </row>
    <row r="258">
      <c r="A258" s="19" t="n"/>
      <c r="B258" s="19" t="n"/>
      <c r="C258" s="19" t="n"/>
      <c r="D258" s="17" t="n"/>
      <c r="E258" s="19" t="n"/>
      <c r="F258" s="19" t="n"/>
      <c r="G258">
        <f>IF(OR(A258="",D258=""),"",IF(E258="Presentada","",D258-Parametros!$B$2))</f>
        <v/>
      </c>
      <c r="H258">
        <f>IF(OR(A258="",D258=""),"",IF(E258="Presentada","CUMPLIDA",IF(G258&lt;0,"VENCIDA",IF(G258&lt;=5,"URGENTE",IF(G258&lt;=15,"PRÓXIMA","OK")))))</f>
        <v/>
      </c>
      <c r="I258" s="19" t="n"/>
    </row>
    <row r="259">
      <c r="A259" s="19" t="n"/>
      <c r="B259" s="19" t="n"/>
      <c r="C259" s="19" t="n"/>
      <c r="D259" s="17" t="n"/>
      <c r="E259" s="19" t="n"/>
      <c r="F259" s="19" t="n"/>
      <c r="G259">
        <f>IF(OR(A259="",D259=""),"",IF(E259="Presentada","",D259-Parametros!$B$2))</f>
        <v/>
      </c>
      <c r="H259">
        <f>IF(OR(A259="",D259=""),"",IF(E259="Presentada","CUMPLIDA",IF(G259&lt;0,"VENCIDA",IF(G259&lt;=5,"URGENTE",IF(G259&lt;=15,"PRÓXIMA","OK")))))</f>
        <v/>
      </c>
      <c r="I259" s="19" t="n"/>
    </row>
    <row r="260">
      <c r="A260" s="19" t="n"/>
      <c r="B260" s="19" t="n"/>
      <c r="C260" s="19" t="n"/>
      <c r="D260" s="17" t="n"/>
      <c r="E260" s="19" t="n"/>
      <c r="F260" s="19" t="n"/>
      <c r="G260">
        <f>IF(OR(A260="",D260=""),"",IF(E260="Presentada","",D260-Parametros!$B$2))</f>
        <v/>
      </c>
      <c r="H260">
        <f>IF(OR(A260="",D260=""),"",IF(E260="Presentada","CUMPLIDA",IF(G260&lt;0,"VENCIDA",IF(G260&lt;=5,"URGENTE",IF(G260&lt;=15,"PRÓXIMA","OK")))))</f>
        <v/>
      </c>
      <c r="I260" s="19" t="n"/>
    </row>
    <row r="261">
      <c r="A261" s="19" t="n"/>
      <c r="B261" s="19" t="n"/>
      <c r="C261" s="19" t="n"/>
      <c r="D261" s="17" t="n"/>
      <c r="E261" s="19" t="n"/>
      <c r="F261" s="19" t="n"/>
      <c r="G261">
        <f>IF(OR(A261="",D261=""),"",IF(E261="Presentada","",D261-Parametros!$B$2))</f>
        <v/>
      </c>
      <c r="H261">
        <f>IF(OR(A261="",D261=""),"",IF(E261="Presentada","CUMPLIDA",IF(G261&lt;0,"VENCIDA",IF(G261&lt;=5,"URGENTE",IF(G261&lt;=15,"PRÓXIMA","OK")))))</f>
        <v/>
      </c>
      <c r="I261" s="19" t="n"/>
    </row>
    <row r="262">
      <c r="A262" s="19" t="n"/>
      <c r="B262" s="19" t="n"/>
      <c r="C262" s="19" t="n"/>
      <c r="D262" s="17" t="n"/>
      <c r="E262" s="19" t="n"/>
      <c r="F262" s="19" t="n"/>
      <c r="G262">
        <f>IF(OR(A262="",D262=""),"",IF(E262="Presentada","",D262-Parametros!$B$2))</f>
        <v/>
      </c>
      <c r="H262">
        <f>IF(OR(A262="",D262=""),"",IF(E262="Presentada","CUMPLIDA",IF(G262&lt;0,"VENCIDA",IF(G262&lt;=5,"URGENTE",IF(G262&lt;=15,"PRÓXIMA","OK")))))</f>
        <v/>
      </c>
      <c r="I262" s="19" t="n"/>
    </row>
    <row r="263">
      <c r="A263" s="19" t="n"/>
      <c r="B263" s="19" t="n"/>
      <c r="C263" s="19" t="n"/>
      <c r="D263" s="17" t="n"/>
      <c r="E263" s="19" t="n"/>
      <c r="F263" s="19" t="n"/>
      <c r="G263">
        <f>IF(OR(A263="",D263=""),"",IF(E263="Presentada","",D263-Parametros!$B$2))</f>
        <v/>
      </c>
      <c r="H263">
        <f>IF(OR(A263="",D263=""),"",IF(E263="Presentada","CUMPLIDA",IF(G263&lt;0,"VENCIDA",IF(G263&lt;=5,"URGENTE",IF(G263&lt;=15,"PRÓXIMA","OK")))))</f>
        <v/>
      </c>
      <c r="I263" s="19" t="n"/>
    </row>
    <row r="264">
      <c r="A264" s="19" t="n"/>
      <c r="B264" s="19" t="n"/>
      <c r="C264" s="19" t="n"/>
      <c r="D264" s="17" t="n"/>
      <c r="E264" s="19" t="n"/>
      <c r="F264" s="19" t="n"/>
      <c r="G264">
        <f>IF(OR(A264="",D264=""),"",IF(E264="Presentada","",D264-Parametros!$B$2))</f>
        <v/>
      </c>
      <c r="H264">
        <f>IF(OR(A264="",D264=""),"",IF(E264="Presentada","CUMPLIDA",IF(G264&lt;0,"VENCIDA",IF(G264&lt;=5,"URGENTE",IF(G264&lt;=15,"PRÓXIMA","OK")))))</f>
        <v/>
      </c>
      <c r="I264" s="19" t="n"/>
    </row>
    <row r="265">
      <c r="A265" s="19" t="n"/>
      <c r="B265" s="19" t="n"/>
      <c r="C265" s="19" t="n"/>
      <c r="D265" s="17" t="n"/>
      <c r="E265" s="19" t="n"/>
      <c r="F265" s="19" t="n"/>
      <c r="G265">
        <f>IF(OR(A265="",D265=""),"",IF(E265="Presentada","",D265-Parametros!$B$2))</f>
        <v/>
      </c>
      <c r="H265">
        <f>IF(OR(A265="",D265=""),"",IF(E265="Presentada","CUMPLIDA",IF(G265&lt;0,"VENCIDA",IF(G265&lt;=5,"URGENTE",IF(G265&lt;=15,"PRÓXIMA","OK")))))</f>
        <v/>
      </c>
      <c r="I265" s="19" t="n"/>
    </row>
    <row r="266">
      <c r="A266" s="19" t="n"/>
      <c r="B266" s="19" t="n"/>
      <c r="C266" s="19" t="n"/>
      <c r="D266" s="17" t="n"/>
      <c r="E266" s="19" t="n"/>
      <c r="F266" s="19" t="n"/>
      <c r="G266">
        <f>IF(OR(A266="",D266=""),"",IF(E266="Presentada","",D266-Parametros!$B$2))</f>
        <v/>
      </c>
      <c r="H266">
        <f>IF(OR(A266="",D266=""),"",IF(E266="Presentada","CUMPLIDA",IF(G266&lt;0,"VENCIDA",IF(G266&lt;=5,"URGENTE",IF(G266&lt;=15,"PRÓXIMA","OK")))))</f>
        <v/>
      </c>
      <c r="I266" s="19" t="n"/>
    </row>
    <row r="267">
      <c r="A267" s="19" t="n"/>
      <c r="B267" s="19" t="n"/>
      <c r="C267" s="19" t="n"/>
      <c r="D267" s="17" t="n"/>
      <c r="E267" s="19" t="n"/>
      <c r="F267" s="19" t="n"/>
      <c r="G267">
        <f>IF(OR(A267="",D267=""),"",IF(E267="Presentada","",D267-Parametros!$B$2))</f>
        <v/>
      </c>
      <c r="H267">
        <f>IF(OR(A267="",D267=""),"",IF(E267="Presentada","CUMPLIDA",IF(G267&lt;0,"VENCIDA",IF(G267&lt;=5,"URGENTE",IF(G267&lt;=15,"PRÓXIMA","OK")))))</f>
        <v/>
      </c>
      <c r="I267" s="19" t="n"/>
    </row>
    <row r="268">
      <c r="A268" s="19" t="n"/>
      <c r="B268" s="19" t="n"/>
      <c r="C268" s="19" t="n"/>
      <c r="D268" s="17" t="n"/>
      <c r="E268" s="19" t="n"/>
      <c r="F268" s="19" t="n"/>
      <c r="G268">
        <f>IF(OR(A268="",D268=""),"",IF(E268="Presentada","",D268-Parametros!$B$2))</f>
        <v/>
      </c>
      <c r="H268">
        <f>IF(OR(A268="",D268=""),"",IF(E268="Presentada","CUMPLIDA",IF(G268&lt;0,"VENCIDA",IF(G268&lt;=5,"URGENTE",IF(G268&lt;=15,"PRÓXIMA","OK")))))</f>
        <v/>
      </c>
      <c r="I268" s="19" t="n"/>
    </row>
    <row r="269">
      <c r="A269" s="19" t="n"/>
      <c r="B269" s="19" t="n"/>
      <c r="C269" s="19" t="n"/>
      <c r="D269" s="17" t="n"/>
      <c r="E269" s="19" t="n"/>
      <c r="F269" s="19" t="n"/>
      <c r="G269">
        <f>IF(OR(A269="",D269=""),"",IF(E269="Presentada","",D269-Parametros!$B$2))</f>
        <v/>
      </c>
      <c r="H269">
        <f>IF(OR(A269="",D269=""),"",IF(E269="Presentada","CUMPLIDA",IF(G269&lt;0,"VENCIDA",IF(G269&lt;=5,"URGENTE",IF(G269&lt;=15,"PRÓXIMA","OK")))))</f>
        <v/>
      </c>
      <c r="I269" s="19" t="n"/>
    </row>
    <row r="270">
      <c r="A270" s="19" t="n"/>
      <c r="B270" s="19" t="n"/>
      <c r="C270" s="19" t="n"/>
      <c r="D270" s="17" t="n"/>
      <c r="E270" s="19" t="n"/>
      <c r="F270" s="19" t="n"/>
      <c r="G270">
        <f>IF(OR(A270="",D270=""),"",IF(E270="Presentada","",D270-Parametros!$B$2))</f>
        <v/>
      </c>
      <c r="H270">
        <f>IF(OR(A270="",D270=""),"",IF(E270="Presentada","CUMPLIDA",IF(G270&lt;0,"VENCIDA",IF(G270&lt;=5,"URGENTE",IF(G270&lt;=15,"PRÓXIMA","OK")))))</f>
        <v/>
      </c>
      <c r="I270" s="19" t="n"/>
    </row>
    <row r="271">
      <c r="A271" s="19" t="n"/>
      <c r="B271" s="19" t="n"/>
      <c r="C271" s="19" t="n"/>
      <c r="D271" s="17" t="n"/>
      <c r="E271" s="19" t="n"/>
      <c r="F271" s="19" t="n"/>
      <c r="G271">
        <f>IF(OR(A271="",D271=""),"",IF(E271="Presentada","",D271-Parametros!$B$2))</f>
        <v/>
      </c>
      <c r="H271">
        <f>IF(OR(A271="",D271=""),"",IF(E271="Presentada","CUMPLIDA",IF(G271&lt;0,"VENCIDA",IF(G271&lt;=5,"URGENTE",IF(G271&lt;=15,"PRÓXIMA","OK")))))</f>
        <v/>
      </c>
      <c r="I271" s="19" t="n"/>
    </row>
    <row r="272">
      <c r="A272" s="19" t="n"/>
      <c r="B272" s="19" t="n"/>
      <c r="C272" s="19" t="n"/>
      <c r="D272" s="17" t="n"/>
      <c r="E272" s="19" t="n"/>
      <c r="F272" s="19" t="n"/>
      <c r="G272">
        <f>IF(OR(A272="",D272=""),"",IF(E272="Presentada","",D272-Parametros!$B$2))</f>
        <v/>
      </c>
      <c r="H272">
        <f>IF(OR(A272="",D272=""),"",IF(E272="Presentada","CUMPLIDA",IF(G272&lt;0,"VENCIDA",IF(G272&lt;=5,"URGENTE",IF(G272&lt;=15,"PRÓXIMA","OK")))))</f>
        <v/>
      </c>
      <c r="I272" s="19" t="n"/>
    </row>
    <row r="273">
      <c r="A273" s="19" t="n"/>
      <c r="B273" s="19" t="n"/>
      <c r="C273" s="19" t="n"/>
      <c r="D273" s="17" t="n"/>
      <c r="E273" s="19" t="n"/>
      <c r="F273" s="19" t="n"/>
      <c r="G273">
        <f>IF(OR(A273="",D273=""),"",IF(E273="Presentada","",D273-Parametros!$B$2))</f>
        <v/>
      </c>
      <c r="H273">
        <f>IF(OR(A273="",D273=""),"",IF(E273="Presentada","CUMPLIDA",IF(G273&lt;0,"VENCIDA",IF(G273&lt;=5,"URGENTE",IF(G273&lt;=15,"PRÓXIMA","OK")))))</f>
        <v/>
      </c>
      <c r="I273" s="19" t="n"/>
    </row>
    <row r="274">
      <c r="A274" s="19" t="n"/>
      <c r="B274" s="19" t="n"/>
      <c r="C274" s="19" t="n"/>
      <c r="D274" s="17" t="n"/>
      <c r="E274" s="19" t="n"/>
      <c r="F274" s="19" t="n"/>
      <c r="G274">
        <f>IF(OR(A274="",D274=""),"",IF(E274="Presentada","",D274-Parametros!$B$2))</f>
        <v/>
      </c>
      <c r="H274">
        <f>IF(OR(A274="",D274=""),"",IF(E274="Presentada","CUMPLIDA",IF(G274&lt;0,"VENCIDA",IF(G274&lt;=5,"URGENTE",IF(G274&lt;=15,"PRÓXIMA","OK")))))</f>
        <v/>
      </c>
      <c r="I274" s="19" t="n"/>
    </row>
    <row r="275">
      <c r="A275" s="19" t="n"/>
      <c r="B275" s="19" t="n"/>
      <c r="C275" s="19" t="n"/>
      <c r="D275" s="17" t="n"/>
      <c r="E275" s="19" t="n"/>
      <c r="F275" s="19" t="n"/>
      <c r="G275">
        <f>IF(OR(A275="",D275=""),"",IF(E275="Presentada","",D275-Parametros!$B$2))</f>
        <v/>
      </c>
      <c r="H275">
        <f>IF(OR(A275="",D275=""),"",IF(E275="Presentada","CUMPLIDA",IF(G275&lt;0,"VENCIDA",IF(G275&lt;=5,"URGENTE",IF(G275&lt;=15,"PRÓXIMA","OK")))))</f>
        <v/>
      </c>
      <c r="I275" s="19" t="n"/>
    </row>
    <row r="276">
      <c r="A276" s="19" t="n"/>
      <c r="B276" s="19" t="n"/>
      <c r="C276" s="19" t="n"/>
      <c r="D276" s="17" t="n"/>
      <c r="E276" s="19" t="n"/>
      <c r="F276" s="19" t="n"/>
      <c r="G276">
        <f>IF(OR(A276="",D276=""),"",IF(E276="Presentada","",D276-Parametros!$B$2))</f>
        <v/>
      </c>
      <c r="H276">
        <f>IF(OR(A276="",D276=""),"",IF(E276="Presentada","CUMPLIDA",IF(G276&lt;0,"VENCIDA",IF(G276&lt;=5,"URGENTE",IF(G276&lt;=15,"PRÓXIMA","OK")))))</f>
        <v/>
      </c>
      <c r="I276" s="19" t="n"/>
    </row>
    <row r="277">
      <c r="A277" s="19" t="n"/>
      <c r="B277" s="19" t="n"/>
      <c r="C277" s="19" t="n"/>
      <c r="D277" s="17" t="n"/>
      <c r="E277" s="19" t="n"/>
      <c r="F277" s="19" t="n"/>
      <c r="G277">
        <f>IF(OR(A277="",D277=""),"",IF(E277="Presentada","",D277-Parametros!$B$2))</f>
        <v/>
      </c>
      <c r="H277">
        <f>IF(OR(A277="",D277=""),"",IF(E277="Presentada","CUMPLIDA",IF(G277&lt;0,"VENCIDA",IF(G277&lt;=5,"URGENTE",IF(G277&lt;=15,"PRÓXIMA","OK")))))</f>
        <v/>
      </c>
      <c r="I277" s="19" t="n"/>
    </row>
    <row r="278">
      <c r="A278" s="19" t="n"/>
      <c r="B278" s="19" t="n"/>
      <c r="C278" s="19" t="n"/>
      <c r="D278" s="17" t="n"/>
      <c r="E278" s="19" t="n"/>
      <c r="F278" s="19" t="n"/>
      <c r="G278">
        <f>IF(OR(A278="",D278=""),"",IF(E278="Presentada","",D278-Parametros!$B$2))</f>
        <v/>
      </c>
      <c r="H278">
        <f>IF(OR(A278="",D278=""),"",IF(E278="Presentada","CUMPLIDA",IF(G278&lt;0,"VENCIDA",IF(G278&lt;=5,"URGENTE",IF(G278&lt;=15,"PRÓXIMA","OK")))))</f>
        <v/>
      </c>
      <c r="I278" s="19" t="n"/>
    </row>
    <row r="279">
      <c r="A279" s="19" t="n"/>
      <c r="B279" s="19" t="n"/>
      <c r="C279" s="19" t="n"/>
      <c r="D279" s="17" t="n"/>
      <c r="E279" s="19" t="n"/>
      <c r="F279" s="19" t="n"/>
      <c r="G279">
        <f>IF(OR(A279="",D279=""),"",IF(E279="Presentada","",D279-Parametros!$B$2))</f>
        <v/>
      </c>
      <c r="H279">
        <f>IF(OR(A279="",D279=""),"",IF(E279="Presentada","CUMPLIDA",IF(G279&lt;0,"VENCIDA",IF(G279&lt;=5,"URGENTE",IF(G279&lt;=15,"PRÓXIMA","OK")))))</f>
        <v/>
      </c>
      <c r="I279" s="19" t="n"/>
    </row>
    <row r="280">
      <c r="A280" s="19" t="n"/>
      <c r="B280" s="19" t="n"/>
      <c r="C280" s="19" t="n"/>
      <c r="D280" s="17" t="n"/>
      <c r="E280" s="19" t="n"/>
      <c r="F280" s="19" t="n"/>
      <c r="G280">
        <f>IF(OR(A280="",D280=""),"",IF(E280="Presentada","",D280-Parametros!$B$2))</f>
        <v/>
      </c>
      <c r="H280">
        <f>IF(OR(A280="",D280=""),"",IF(E280="Presentada","CUMPLIDA",IF(G280&lt;0,"VENCIDA",IF(G280&lt;=5,"URGENTE",IF(G280&lt;=15,"PRÓXIMA","OK")))))</f>
        <v/>
      </c>
      <c r="I280" s="19" t="n"/>
    </row>
    <row r="281">
      <c r="A281" s="19" t="n"/>
      <c r="B281" s="19" t="n"/>
      <c r="C281" s="19" t="n"/>
      <c r="D281" s="17" t="n"/>
      <c r="E281" s="19" t="n"/>
      <c r="F281" s="19" t="n"/>
      <c r="G281">
        <f>IF(OR(A281="",D281=""),"",IF(E281="Presentada","",D281-Parametros!$B$2))</f>
        <v/>
      </c>
      <c r="H281">
        <f>IF(OR(A281="",D281=""),"",IF(E281="Presentada","CUMPLIDA",IF(G281&lt;0,"VENCIDA",IF(G281&lt;=5,"URGENTE",IF(G281&lt;=15,"PRÓXIMA","OK")))))</f>
        <v/>
      </c>
      <c r="I281" s="19" t="n"/>
    </row>
    <row r="282">
      <c r="A282" s="19" t="n"/>
      <c r="B282" s="19" t="n"/>
      <c r="C282" s="19" t="n"/>
      <c r="D282" s="17" t="n"/>
      <c r="E282" s="19" t="n"/>
      <c r="F282" s="19" t="n"/>
      <c r="G282">
        <f>IF(OR(A282="",D282=""),"",IF(E282="Presentada","",D282-Parametros!$B$2))</f>
        <v/>
      </c>
      <c r="H282">
        <f>IF(OR(A282="",D282=""),"",IF(E282="Presentada","CUMPLIDA",IF(G282&lt;0,"VENCIDA",IF(G282&lt;=5,"URGENTE",IF(G282&lt;=15,"PRÓXIMA","OK")))))</f>
        <v/>
      </c>
      <c r="I282" s="19" t="n"/>
    </row>
    <row r="283">
      <c r="A283" s="19" t="n"/>
      <c r="B283" s="19" t="n"/>
      <c r="C283" s="19" t="n"/>
      <c r="D283" s="17" t="n"/>
      <c r="E283" s="19" t="n"/>
      <c r="F283" s="19" t="n"/>
      <c r="G283">
        <f>IF(OR(A283="",D283=""),"",IF(E283="Presentada","",D283-Parametros!$B$2))</f>
        <v/>
      </c>
      <c r="H283">
        <f>IF(OR(A283="",D283=""),"",IF(E283="Presentada","CUMPLIDA",IF(G283&lt;0,"VENCIDA",IF(G283&lt;=5,"URGENTE",IF(G283&lt;=15,"PRÓXIMA","OK")))))</f>
        <v/>
      </c>
      <c r="I283" s="19" t="n"/>
    </row>
    <row r="284">
      <c r="A284" s="19" t="n"/>
      <c r="B284" s="19" t="n"/>
      <c r="C284" s="19" t="n"/>
      <c r="D284" s="17" t="n"/>
      <c r="E284" s="19" t="n"/>
      <c r="F284" s="19" t="n"/>
      <c r="G284">
        <f>IF(OR(A284="",D284=""),"",IF(E284="Presentada","",D284-Parametros!$B$2))</f>
        <v/>
      </c>
      <c r="H284">
        <f>IF(OR(A284="",D284=""),"",IF(E284="Presentada","CUMPLIDA",IF(G284&lt;0,"VENCIDA",IF(G284&lt;=5,"URGENTE",IF(G284&lt;=15,"PRÓXIMA","OK")))))</f>
        <v/>
      </c>
      <c r="I284" s="19" t="n"/>
    </row>
    <row r="285">
      <c r="A285" s="19" t="n"/>
      <c r="B285" s="19" t="n"/>
      <c r="C285" s="19" t="n"/>
      <c r="D285" s="17" t="n"/>
      <c r="E285" s="19" t="n"/>
      <c r="F285" s="19" t="n"/>
      <c r="G285">
        <f>IF(OR(A285="",D285=""),"",IF(E285="Presentada","",D285-Parametros!$B$2))</f>
        <v/>
      </c>
      <c r="H285">
        <f>IF(OR(A285="",D285=""),"",IF(E285="Presentada","CUMPLIDA",IF(G285&lt;0,"VENCIDA",IF(G285&lt;=5,"URGENTE",IF(G285&lt;=15,"PRÓXIMA","OK")))))</f>
        <v/>
      </c>
      <c r="I285" s="19" t="n"/>
    </row>
    <row r="286">
      <c r="A286" s="19" t="n"/>
      <c r="B286" s="19" t="n"/>
      <c r="C286" s="19" t="n"/>
      <c r="D286" s="17" t="n"/>
      <c r="E286" s="19" t="n"/>
      <c r="F286" s="19" t="n"/>
      <c r="G286">
        <f>IF(OR(A286="",D286=""),"",IF(E286="Presentada","",D286-Parametros!$B$2))</f>
        <v/>
      </c>
      <c r="H286">
        <f>IF(OR(A286="",D286=""),"",IF(E286="Presentada","CUMPLIDA",IF(G286&lt;0,"VENCIDA",IF(G286&lt;=5,"URGENTE",IF(G286&lt;=15,"PRÓXIMA","OK")))))</f>
        <v/>
      </c>
      <c r="I286" s="19" t="n"/>
    </row>
    <row r="287">
      <c r="A287" s="19" t="n"/>
      <c r="B287" s="19" t="n"/>
      <c r="C287" s="19" t="n"/>
      <c r="D287" s="17" t="n"/>
      <c r="E287" s="19" t="n"/>
      <c r="F287" s="19" t="n"/>
      <c r="G287">
        <f>IF(OR(A287="",D287=""),"",IF(E287="Presentada","",D287-Parametros!$B$2))</f>
        <v/>
      </c>
      <c r="H287">
        <f>IF(OR(A287="",D287=""),"",IF(E287="Presentada","CUMPLIDA",IF(G287&lt;0,"VENCIDA",IF(G287&lt;=5,"URGENTE",IF(G287&lt;=15,"PRÓXIMA","OK")))))</f>
        <v/>
      </c>
      <c r="I287" s="19" t="n"/>
    </row>
    <row r="288">
      <c r="A288" s="19" t="n"/>
      <c r="B288" s="19" t="n"/>
      <c r="C288" s="19" t="n"/>
      <c r="D288" s="17" t="n"/>
      <c r="E288" s="19" t="n"/>
      <c r="F288" s="19" t="n"/>
      <c r="G288">
        <f>IF(OR(A288="",D288=""),"",IF(E288="Presentada","",D288-Parametros!$B$2))</f>
        <v/>
      </c>
      <c r="H288">
        <f>IF(OR(A288="",D288=""),"",IF(E288="Presentada","CUMPLIDA",IF(G288&lt;0,"VENCIDA",IF(G288&lt;=5,"URGENTE",IF(G288&lt;=15,"PRÓXIMA","OK")))))</f>
        <v/>
      </c>
      <c r="I288" s="19" t="n"/>
    </row>
    <row r="289">
      <c r="A289" s="19" t="n"/>
      <c r="B289" s="19" t="n"/>
      <c r="C289" s="19" t="n"/>
      <c r="D289" s="17" t="n"/>
      <c r="E289" s="19" t="n"/>
      <c r="F289" s="19" t="n"/>
      <c r="G289">
        <f>IF(OR(A289="",D289=""),"",IF(E289="Presentada","",D289-Parametros!$B$2))</f>
        <v/>
      </c>
      <c r="H289">
        <f>IF(OR(A289="",D289=""),"",IF(E289="Presentada","CUMPLIDA",IF(G289&lt;0,"VENCIDA",IF(G289&lt;=5,"URGENTE",IF(G289&lt;=15,"PRÓXIMA","OK")))))</f>
        <v/>
      </c>
      <c r="I289" s="19" t="n"/>
    </row>
    <row r="290">
      <c r="A290" s="19" t="n"/>
      <c r="B290" s="19" t="n"/>
      <c r="C290" s="19" t="n"/>
      <c r="D290" s="17" t="n"/>
      <c r="E290" s="19" t="n"/>
      <c r="F290" s="19" t="n"/>
      <c r="G290">
        <f>IF(OR(A290="",D290=""),"",IF(E290="Presentada","",D290-Parametros!$B$2))</f>
        <v/>
      </c>
      <c r="H290">
        <f>IF(OR(A290="",D290=""),"",IF(E290="Presentada","CUMPLIDA",IF(G290&lt;0,"VENCIDA",IF(G290&lt;=5,"URGENTE",IF(G290&lt;=15,"PRÓXIMA","OK")))))</f>
        <v/>
      </c>
      <c r="I290" s="19" t="n"/>
    </row>
    <row r="291">
      <c r="A291" s="19" t="n"/>
      <c r="B291" s="19" t="n"/>
      <c r="C291" s="19" t="n"/>
      <c r="D291" s="17" t="n"/>
      <c r="E291" s="19" t="n"/>
      <c r="F291" s="19" t="n"/>
      <c r="G291">
        <f>IF(OR(A291="",D291=""),"",IF(E291="Presentada","",D291-Parametros!$B$2))</f>
        <v/>
      </c>
      <c r="H291">
        <f>IF(OR(A291="",D291=""),"",IF(E291="Presentada","CUMPLIDA",IF(G291&lt;0,"VENCIDA",IF(G291&lt;=5,"URGENTE",IF(G291&lt;=15,"PRÓXIMA","OK")))))</f>
        <v/>
      </c>
      <c r="I291" s="19" t="n"/>
    </row>
    <row r="292">
      <c r="A292" s="19" t="n"/>
      <c r="B292" s="19" t="n"/>
      <c r="C292" s="19" t="n"/>
      <c r="D292" s="17" t="n"/>
      <c r="E292" s="19" t="n"/>
      <c r="F292" s="19" t="n"/>
      <c r="G292">
        <f>IF(OR(A292="",D292=""),"",IF(E292="Presentada","",D292-Parametros!$B$2))</f>
        <v/>
      </c>
      <c r="H292">
        <f>IF(OR(A292="",D292=""),"",IF(E292="Presentada","CUMPLIDA",IF(G292&lt;0,"VENCIDA",IF(G292&lt;=5,"URGENTE",IF(G292&lt;=15,"PRÓXIMA","OK")))))</f>
        <v/>
      </c>
      <c r="I292" s="19" t="n"/>
    </row>
    <row r="293">
      <c r="A293" s="19" t="n"/>
      <c r="B293" s="19" t="n"/>
      <c r="C293" s="19" t="n"/>
      <c r="D293" s="17" t="n"/>
      <c r="E293" s="19" t="n"/>
      <c r="F293" s="19" t="n"/>
      <c r="G293">
        <f>IF(OR(A293="",D293=""),"",IF(E293="Presentada","",D293-Parametros!$B$2))</f>
        <v/>
      </c>
      <c r="H293">
        <f>IF(OR(A293="",D293=""),"",IF(E293="Presentada","CUMPLIDA",IF(G293&lt;0,"VENCIDA",IF(G293&lt;=5,"URGENTE",IF(G293&lt;=15,"PRÓXIMA","OK")))))</f>
        <v/>
      </c>
      <c r="I293" s="19" t="n"/>
    </row>
    <row r="294">
      <c r="A294" s="19" t="n"/>
      <c r="B294" s="19" t="n"/>
      <c r="C294" s="19" t="n"/>
      <c r="D294" s="17" t="n"/>
      <c r="E294" s="19" t="n"/>
      <c r="F294" s="19" t="n"/>
      <c r="G294">
        <f>IF(OR(A294="",D294=""),"",IF(E294="Presentada","",D294-Parametros!$B$2))</f>
        <v/>
      </c>
      <c r="H294">
        <f>IF(OR(A294="",D294=""),"",IF(E294="Presentada","CUMPLIDA",IF(G294&lt;0,"VENCIDA",IF(G294&lt;=5,"URGENTE",IF(G294&lt;=15,"PRÓXIMA","OK")))))</f>
        <v/>
      </c>
      <c r="I294" s="19" t="n"/>
    </row>
    <row r="295">
      <c r="A295" s="19" t="n"/>
      <c r="B295" s="19" t="n"/>
      <c r="C295" s="19" t="n"/>
      <c r="D295" s="17" t="n"/>
      <c r="E295" s="19" t="n"/>
      <c r="F295" s="19" t="n"/>
      <c r="G295">
        <f>IF(OR(A295="",D295=""),"",IF(E295="Presentada","",D295-Parametros!$B$2))</f>
        <v/>
      </c>
      <c r="H295">
        <f>IF(OR(A295="",D295=""),"",IF(E295="Presentada","CUMPLIDA",IF(G295&lt;0,"VENCIDA",IF(G295&lt;=5,"URGENTE",IF(G295&lt;=15,"PRÓXIMA","OK")))))</f>
        <v/>
      </c>
      <c r="I295" s="19" t="n"/>
    </row>
    <row r="296">
      <c r="A296" s="19" t="n"/>
      <c r="B296" s="19" t="n"/>
      <c r="C296" s="19" t="n"/>
      <c r="D296" s="17" t="n"/>
      <c r="E296" s="19" t="n"/>
      <c r="F296" s="19" t="n"/>
      <c r="G296">
        <f>IF(OR(A296="",D296=""),"",IF(E296="Presentada","",D296-Parametros!$B$2))</f>
        <v/>
      </c>
      <c r="H296">
        <f>IF(OR(A296="",D296=""),"",IF(E296="Presentada","CUMPLIDA",IF(G296&lt;0,"VENCIDA",IF(G296&lt;=5,"URGENTE",IF(G296&lt;=15,"PRÓXIMA","OK")))))</f>
        <v/>
      </c>
      <c r="I296" s="19" t="n"/>
    </row>
    <row r="297">
      <c r="A297" s="19" t="n"/>
      <c r="B297" s="19" t="n"/>
      <c r="C297" s="19" t="n"/>
      <c r="D297" s="17" t="n"/>
      <c r="E297" s="19" t="n"/>
      <c r="F297" s="19" t="n"/>
      <c r="G297">
        <f>IF(OR(A297="",D297=""),"",IF(E297="Presentada","",D297-Parametros!$B$2))</f>
        <v/>
      </c>
      <c r="H297">
        <f>IF(OR(A297="",D297=""),"",IF(E297="Presentada","CUMPLIDA",IF(G297&lt;0,"VENCIDA",IF(G297&lt;=5,"URGENTE",IF(G297&lt;=15,"PRÓXIMA","OK")))))</f>
        <v/>
      </c>
      <c r="I297" s="19" t="n"/>
    </row>
    <row r="298">
      <c r="A298" s="19" t="n"/>
      <c r="B298" s="19" t="n"/>
      <c r="C298" s="19" t="n"/>
      <c r="D298" s="17" t="n"/>
      <c r="E298" s="19" t="n"/>
      <c r="F298" s="19" t="n"/>
      <c r="G298">
        <f>IF(OR(A298="",D298=""),"",IF(E298="Presentada","",D298-Parametros!$B$2))</f>
        <v/>
      </c>
      <c r="H298">
        <f>IF(OR(A298="",D298=""),"",IF(E298="Presentada","CUMPLIDA",IF(G298&lt;0,"VENCIDA",IF(G298&lt;=5,"URGENTE",IF(G298&lt;=15,"PRÓXIMA","OK")))))</f>
        <v/>
      </c>
      <c r="I298" s="19" t="n"/>
    </row>
    <row r="299">
      <c r="A299" s="19" t="n"/>
      <c r="B299" s="19" t="n"/>
      <c r="C299" s="19" t="n"/>
      <c r="D299" s="17" t="n"/>
      <c r="E299" s="19" t="n"/>
      <c r="F299" s="19" t="n"/>
      <c r="G299">
        <f>IF(OR(A299="",D299=""),"",IF(E299="Presentada","",D299-Parametros!$B$2))</f>
        <v/>
      </c>
      <c r="H299">
        <f>IF(OR(A299="",D299=""),"",IF(E299="Presentada","CUMPLIDA",IF(G299&lt;0,"VENCIDA",IF(G299&lt;=5,"URGENTE",IF(G299&lt;=15,"PRÓXIMA","OK")))))</f>
        <v/>
      </c>
      <c r="I299" s="19" t="n"/>
    </row>
    <row r="300">
      <c r="A300" s="19" t="n"/>
      <c r="B300" s="19" t="n"/>
      <c r="C300" s="19" t="n"/>
      <c r="D300" s="17" t="n"/>
      <c r="E300" s="19" t="n"/>
      <c r="F300" s="19" t="n"/>
      <c r="G300">
        <f>IF(OR(A300="",D300=""),"",IF(E300="Presentada","",D300-Parametros!$B$2))</f>
        <v/>
      </c>
      <c r="H300">
        <f>IF(OR(A300="",D300=""),"",IF(E300="Presentada","CUMPLIDA",IF(G300&lt;0,"VENCIDA",IF(G300&lt;=5,"URGENTE",IF(G300&lt;=15,"PRÓXIMA","OK")))))</f>
        <v/>
      </c>
      <c r="I300" s="19" t="n"/>
    </row>
    <row r="301">
      <c r="A301" s="19" t="n"/>
      <c r="B301" s="19" t="n"/>
      <c r="C301" s="19" t="n"/>
      <c r="D301" s="17" t="n"/>
      <c r="E301" s="19" t="n"/>
      <c r="F301" s="19" t="n"/>
      <c r="G301">
        <f>IF(OR(A301="",D301=""),"",IF(E301="Presentada","",D301-Parametros!$B$2))</f>
        <v/>
      </c>
      <c r="H301">
        <f>IF(OR(A301="",D301=""),"",IF(E301="Presentada","CUMPLIDA",IF(G301&lt;0,"VENCIDA",IF(G301&lt;=5,"URGENTE",IF(G301&lt;=15,"PRÓXIMA","OK")))))</f>
        <v/>
      </c>
      <c r="I301" s="19" t="n"/>
    </row>
  </sheetData>
  <autoFilter ref="A1:I301"/>
  <conditionalFormatting sqref="H2:H301">
    <cfRule type="cellIs" priority="1" operator="equal" dxfId="2">
      <formula>"VENCIDA"</formula>
    </cfRule>
    <cfRule type="cellIs" priority="2" operator="equal" dxfId="2">
      <formula>"URGENTE"</formula>
    </cfRule>
    <cfRule type="cellIs" priority="3" operator="equal" dxfId="1">
      <formula>"PRÓXIMA"</formula>
    </cfRule>
    <cfRule type="cellIs" priority="4" operator="equal" dxfId="0">
      <formula>"CUMPLIDA"</formula>
    </cfRule>
  </conditionalFormatting>
  <dataValidations count="2">
    <dataValidation sqref="B2:B301" showDropDown="0" showInputMessage="0" showErrorMessage="0" allowBlank="1" type="list">
      <formula1>=Parametros!$H$2:$H$14</formula1>
    </dataValidation>
    <dataValidation sqref="E2:E301" showDropDown="0" showInputMessage="0" showErrorMessage="0" allowBlank="1" type="list">
      <formula1>=Parametros!$I$2:$I$6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8" customWidth="1" min="4" max="4"/>
    <col width="10" customWidth="1" min="5" max="5"/>
    <col width="40" customWidth="1" min="6" max="6"/>
  </cols>
  <sheetData>
    <row r="1" ht="32" customHeight="1">
      <c r="A1" s="23" t="inlineStr">
        <is>
          <t>Fecha</t>
        </is>
      </c>
      <c r="B1" s="23" t="inlineStr">
        <is>
          <t>Cliente</t>
        </is>
      </c>
      <c r="C1" s="23" t="inlineStr">
        <is>
          <t>Actividad</t>
        </is>
      </c>
      <c r="D1" s="23" t="inlineStr">
        <is>
          <t>Horas</t>
        </is>
      </c>
      <c r="E1" s="23" t="inlineStr">
        <is>
          <t>Mes</t>
        </is>
      </c>
      <c r="F1" s="23" t="inlineStr">
        <is>
          <t>Nota</t>
        </is>
      </c>
    </row>
    <row r="2">
      <c r="A2" s="17" t="n">
        <v>46297</v>
      </c>
      <c r="B2" s="19" t="inlineStr">
        <is>
          <t>Restaurante La Ribera</t>
        </is>
      </c>
      <c r="C2" s="19" t="inlineStr">
        <is>
          <t>Contabilidad</t>
        </is>
      </c>
      <c r="D2" s="28" t="n">
        <v>4</v>
      </c>
      <c r="E2" s="5">
        <f>IF(A2="","",DATE(YEAR(A2),MONTH(A2),1))</f>
        <v/>
      </c>
      <c r="F2" s="19" t="n"/>
    </row>
    <row r="3">
      <c r="A3" s="17" t="n">
        <v>46301</v>
      </c>
      <c r="B3" s="19" t="inlineStr">
        <is>
          <t>Restaurante La Ribera</t>
        </is>
      </c>
      <c r="C3" s="19" t="inlineStr">
        <is>
          <t>Nómina</t>
        </is>
      </c>
      <c r="D3" s="28" t="n">
        <v>2</v>
      </c>
      <c r="E3" s="5">
        <f>IF(A3="","",DATE(YEAR(A3),MONTH(A3),1))</f>
        <v/>
      </c>
      <c r="F3" s="19" t="n"/>
    </row>
    <row r="4">
      <c r="A4" s="17" t="n">
        <v>46298</v>
      </c>
      <c r="B4" s="19" t="inlineStr">
        <is>
          <t>Comercializadora Sinú SAS</t>
        </is>
      </c>
      <c r="C4" s="19" t="inlineStr">
        <is>
          <t>Contabilidad</t>
        </is>
      </c>
      <c r="D4" s="28" t="n">
        <v>6</v>
      </c>
      <c r="E4" s="5">
        <f>IF(A4="","",DATE(YEAR(A4),MONTH(A4),1))</f>
        <v/>
      </c>
      <c r="F4" s="19" t="n"/>
    </row>
    <row r="5">
      <c r="A5" s="17" t="n">
        <v>46304</v>
      </c>
      <c r="B5" s="19" t="inlineStr">
        <is>
          <t>Comercializadora Sinú SAS</t>
        </is>
      </c>
      <c r="C5" s="19" t="inlineStr">
        <is>
          <t>Informe / reunión</t>
        </is>
      </c>
      <c r="D5" s="28" t="n">
        <v>3</v>
      </c>
      <c r="E5" s="5">
        <f>IF(A5="","",DATE(YEAR(A5),MONTH(A5),1))</f>
        <v/>
      </c>
      <c r="F5" s="19" t="n"/>
    </row>
    <row r="6">
      <c r="A6" s="17" t="n">
        <v>46302</v>
      </c>
      <c r="B6" s="19" t="inlineStr">
        <is>
          <t>Juan Pérez (independiente)</t>
        </is>
      </c>
      <c r="C6" s="19" t="inlineStr">
        <is>
          <t>Tributario</t>
        </is>
      </c>
      <c r="D6" s="28" t="n">
        <v>2</v>
      </c>
      <c r="E6" s="5">
        <f>IF(A6="","",DATE(YEAR(A6),MONTH(A6),1))</f>
        <v/>
      </c>
      <c r="F6" s="19" t="n"/>
    </row>
    <row r="7">
      <c r="A7" s="17" t="n">
        <v>46303</v>
      </c>
      <c r="B7" s="19" t="inlineStr">
        <is>
          <t>Taller Mecánico Rápido</t>
        </is>
      </c>
      <c r="C7" s="19" t="inlineStr">
        <is>
          <t>Contabilidad</t>
        </is>
      </c>
      <c r="D7" s="28" t="n">
        <v>7</v>
      </c>
      <c r="E7" s="5">
        <f>IF(A7="","",DATE(YEAR(A7),MONTH(A7),1))</f>
        <v/>
      </c>
      <c r="F7" s="19" t="n"/>
    </row>
    <row r="8">
      <c r="A8" s="17" t="n">
        <v>46307</v>
      </c>
      <c r="B8" s="19" t="inlineStr">
        <is>
          <t>Taller Mecánico Rápido</t>
        </is>
      </c>
      <c r="C8" s="19" t="inlineStr">
        <is>
          <t>Tributario</t>
        </is>
      </c>
      <c r="D8" s="28" t="n">
        <v>5</v>
      </c>
      <c r="E8" s="5">
        <f>IF(A8="","",DATE(YEAR(A8),MONTH(A8),1))</f>
        <v/>
      </c>
      <c r="F8" s="19" t="n"/>
    </row>
    <row r="9">
      <c r="A9" s="17" t="n">
        <v>46293</v>
      </c>
      <c r="B9" s="19" t="inlineStr">
        <is>
          <t>Restaurante La Ribera</t>
        </is>
      </c>
      <c r="C9" s="19" t="inlineStr">
        <is>
          <t>Diagnóstico</t>
        </is>
      </c>
      <c r="D9" s="28" t="n">
        <v>2</v>
      </c>
      <c r="E9" s="5">
        <f>IF(A9="","",DATE(YEAR(A9),MONTH(A9),1))</f>
        <v/>
      </c>
      <c r="F9" s="19" t="n"/>
    </row>
    <row r="10">
      <c r="A10" s="17" t="n"/>
      <c r="B10" s="19" t="n"/>
      <c r="C10" s="19" t="n"/>
      <c r="D10" s="28" t="n"/>
      <c r="E10" s="5">
        <f>IF(A10="","",DATE(YEAR(A10),MONTH(A10),1))</f>
        <v/>
      </c>
      <c r="F10" s="19" t="n"/>
    </row>
    <row r="11">
      <c r="A11" s="17" t="n"/>
      <c r="B11" s="19" t="n"/>
      <c r="C11" s="19" t="n"/>
      <c r="D11" s="28" t="n"/>
      <c r="E11" s="5">
        <f>IF(A11="","",DATE(YEAR(A11),MONTH(A11),1))</f>
        <v/>
      </c>
      <c r="F11" s="19" t="n"/>
    </row>
    <row r="12">
      <c r="A12" s="17" t="n"/>
      <c r="B12" s="19" t="n"/>
      <c r="C12" s="19" t="n"/>
      <c r="D12" s="28" t="n"/>
      <c r="E12" s="5">
        <f>IF(A12="","",DATE(YEAR(A12),MONTH(A12),1))</f>
        <v/>
      </c>
      <c r="F12" s="19" t="n"/>
    </row>
    <row r="13">
      <c r="A13" s="17" t="n"/>
      <c r="B13" s="19" t="n"/>
      <c r="C13" s="19" t="n"/>
      <c r="D13" s="28" t="n"/>
      <c r="E13" s="5">
        <f>IF(A13="","",DATE(YEAR(A13),MONTH(A13),1))</f>
        <v/>
      </c>
      <c r="F13" s="19" t="n"/>
    </row>
    <row r="14">
      <c r="A14" s="17" t="n"/>
      <c r="B14" s="19" t="n"/>
      <c r="C14" s="19" t="n"/>
      <c r="D14" s="28" t="n"/>
      <c r="E14" s="5">
        <f>IF(A14="","",DATE(YEAR(A14),MONTH(A14),1))</f>
        <v/>
      </c>
      <c r="F14" s="19" t="n"/>
    </row>
    <row r="15">
      <c r="A15" s="17" t="n"/>
      <c r="B15" s="19" t="n"/>
      <c r="C15" s="19" t="n"/>
      <c r="D15" s="28" t="n"/>
      <c r="E15" s="5">
        <f>IF(A15="","",DATE(YEAR(A15),MONTH(A15),1))</f>
        <v/>
      </c>
      <c r="F15" s="19" t="n"/>
    </row>
    <row r="16">
      <c r="A16" s="17" t="n"/>
      <c r="B16" s="19" t="n"/>
      <c r="C16" s="19" t="n"/>
      <c r="D16" s="28" t="n"/>
      <c r="E16" s="5">
        <f>IF(A16="","",DATE(YEAR(A16),MONTH(A16),1))</f>
        <v/>
      </c>
      <c r="F16" s="19" t="n"/>
    </row>
    <row r="17">
      <c r="A17" s="17" t="n"/>
      <c r="B17" s="19" t="n"/>
      <c r="C17" s="19" t="n"/>
      <c r="D17" s="28" t="n"/>
      <c r="E17" s="5">
        <f>IF(A17="","",DATE(YEAR(A17),MONTH(A17),1))</f>
        <v/>
      </c>
      <c r="F17" s="19" t="n"/>
    </row>
    <row r="18">
      <c r="A18" s="17" t="n"/>
      <c r="B18" s="19" t="n"/>
      <c r="C18" s="19" t="n"/>
      <c r="D18" s="28" t="n"/>
      <c r="E18" s="5">
        <f>IF(A18="","",DATE(YEAR(A18),MONTH(A18),1))</f>
        <v/>
      </c>
      <c r="F18" s="19" t="n"/>
    </row>
    <row r="19">
      <c r="A19" s="17" t="n"/>
      <c r="B19" s="19" t="n"/>
      <c r="C19" s="19" t="n"/>
      <c r="D19" s="28" t="n"/>
      <c r="E19" s="5">
        <f>IF(A19="","",DATE(YEAR(A19),MONTH(A19),1))</f>
        <v/>
      </c>
      <c r="F19" s="19" t="n"/>
    </row>
    <row r="20">
      <c r="A20" s="17" t="n"/>
      <c r="B20" s="19" t="n"/>
      <c r="C20" s="19" t="n"/>
      <c r="D20" s="28" t="n"/>
      <c r="E20" s="5">
        <f>IF(A20="","",DATE(YEAR(A20),MONTH(A20),1))</f>
        <v/>
      </c>
      <c r="F20" s="19" t="n"/>
    </row>
    <row r="21">
      <c r="A21" s="17" t="n"/>
      <c r="B21" s="19" t="n"/>
      <c r="C21" s="19" t="n"/>
      <c r="D21" s="28" t="n"/>
      <c r="E21" s="5">
        <f>IF(A21="","",DATE(YEAR(A21),MONTH(A21),1))</f>
        <v/>
      </c>
      <c r="F21" s="19" t="n"/>
    </row>
    <row r="22">
      <c r="A22" s="17" t="n"/>
      <c r="B22" s="19" t="n"/>
      <c r="C22" s="19" t="n"/>
      <c r="D22" s="28" t="n"/>
      <c r="E22" s="5">
        <f>IF(A22="","",DATE(YEAR(A22),MONTH(A22),1))</f>
        <v/>
      </c>
      <c r="F22" s="19" t="n"/>
    </row>
    <row r="23">
      <c r="A23" s="17" t="n"/>
      <c r="B23" s="19" t="n"/>
      <c r="C23" s="19" t="n"/>
      <c r="D23" s="28" t="n"/>
      <c r="E23" s="5">
        <f>IF(A23="","",DATE(YEAR(A23),MONTH(A23),1))</f>
        <v/>
      </c>
      <c r="F23" s="19" t="n"/>
    </row>
    <row r="24">
      <c r="A24" s="17" t="n"/>
      <c r="B24" s="19" t="n"/>
      <c r="C24" s="19" t="n"/>
      <c r="D24" s="28" t="n"/>
      <c r="E24" s="5">
        <f>IF(A24="","",DATE(YEAR(A24),MONTH(A24),1))</f>
        <v/>
      </c>
      <c r="F24" s="19" t="n"/>
    </row>
    <row r="25">
      <c r="A25" s="17" t="n"/>
      <c r="B25" s="19" t="n"/>
      <c r="C25" s="19" t="n"/>
      <c r="D25" s="28" t="n"/>
      <c r="E25" s="5">
        <f>IF(A25="","",DATE(YEAR(A25),MONTH(A25),1))</f>
        <v/>
      </c>
      <c r="F25" s="19" t="n"/>
    </row>
    <row r="26">
      <c r="A26" s="17" t="n"/>
      <c r="B26" s="19" t="n"/>
      <c r="C26" s="19" t="n"/>
      <c r="D26" s="28" t="n"/>
      <c r="E26" s="5">
        <f>IF(A26="","",DATE(YEAR(A26),MONTH(A26),1))</f>
        <v/>
      </c>
      <c r="F26" s="19" t="n"/>
    </row>
    <row r="27">
      <c r="A27" s="17" t="n"/>
      <c r="B27" s="19" t="n"/>
      <c r="C27" s="19" t="n"/>
      <c r="D27" s="28" t="n"/>
      <c r="E27" s="5">
        <f>IF(A27="","",DATE(YEAR(A27),MONTH(A27),1))</f>
        <v/>
      </c>
      <c r="F27" s="19" t="n"/>
    </row>
    <row r="28">
      <c r="A28" s="17" t="n"/>
      <c r="B28" s="19" t="n"/>
      <c r="C28" s="19" t="n"/>
      <c r="D28" s="28" t="n"/>
      <c r="E28" s="5">
        <f>IF(A28="","",DATE(YEAR(A28),MONTH(A28),1))</f>
        <v/>
      </c>
      <c r="F28" s="19" t="n"/>
    </row>
    <row r="29">
      <c r="A29" s="17" t="n"/>
      <c r="B29" s="19" t="n"/>
      <c r="C29" s="19" t="n"/>
      <c r="D29" s="28" t="n"/>
      <c r="E29" s="5">
        <f>IF(A29="","",DATE(YEAR(A29),MONTH(A29),1))</f>
        <v/>
      </c>
      <c r="F29" s="19" t="n"/>
    </row>
    <row r="30">
      <c r="A30" s="17" t="n"/>
      <c r="B30" s="19" t="n"/>
      <c r="C30" s="19" t="n"/>
      <c r="D30" s="28" t="n"/>
      <c r="E30" s="5">
        <f>IF(A30="","",DATE(YEAR(A30),MONTH(A30),1))</f>
        <v/>
      </c>
      <c r="F30" s="19" t="n"/>
    </row>
    <row r="31">
      <c r="A31" s="17" t="n"/>
      <c r="B31" s="19" t="n"/>
      <c r="C31" s="19" t="n"/>
      <c r="D31" s="28" t="n"/>
      <c r="E31" s="5">
        <f>IF(A31="","",DATE(YEAR(A31),MONTH(A31),1))</f>
        <v/>
      </c>
      <c r="F31" s="19" t="n"/>
    </row>
    <row r="32">
      <c r="A32" s="17" t="n"/>
      <c r="B32" s="19" t="n"/>
      <c r="C32" s="19" t="n"/>
      <c r="D32" s="28" t="n"/>
      <c r="E32" s="5">
        <f>IF(A32="","",DATE(YEAR(A32),MONTH(A32),1))</f>
        <v/>
      </c>
      <c r="F32" s="19" t="n"/>
    </row>
    <row r="33">
      <c r="A33" s="17" t="n"/>
      <c r="B33" s="19" t="n"/>
      <c r="C33" s="19" t="n"/>
      <c r="D33" s="28" t="n"/>
      <c r="E33" s="5">
        <f>IF(A33="","",DATE(YEAR(A33),MONTH(A33),1))</f>
        <v/>
      </c>
      <c r="F33" s="19" t="n"/>
    </row>
    <row r="34">
      <c r="A34" s="17" t="n"/>
      <c r="B34" s="19" t="n"/>
      <c r="C34" s="19" t="n"/>
      <c r="D34" s="28" t="n"/>
      <c r="E34" s="5">
        <f>IF(A34="","",DATE(YEAR(A34),MONTH(A34),1))</f>
        <v/>
      </c>
      <c r="F34" s="19" t="n"/>
    </row>
    <row r="35">
      <c r="A35" s="17" t="n"/>
      <c r="B35" s="19" t="n"/>
      <c r="C35" s="19" t="n"/>
      <c r="D35" s="28" t="n"/>
      <c r="E35" s="5">
        <f>IF(A35="","",DATE(YEAR(A35),MONTH(A35),1))</f>
        <v/>
      </c>
      <c r="F35" s="19" t="n"/>
    </row>
    <row r="36">
      <c r="A36" s="17" t="n"/>
      <c r="B36" s="19" t="n"/>
      <c r="C36" s="19" t="n"/>
      <c r="D36" s="28" t="n"/>
      <c r="E36" s="5">
        <f>IF(A36="","",DATE(YEAR(A36),MONTH(A36),1))</f>
        <v/>
      </c>
      <c r="F36" s="19" t="n"/>
    </row>
    <row r="37">
      <c r="A37" s="17" t="n"/>
      <c r="B37" s="19" t="n"/>
      <c r="C37" s="19" t="n"/>
      <c r="D37" s="28" t="n"/>
      <c r="E37" s="5">
        <f>IF(A37="","",DATE(YEAR(A37),MONTH(A37),1))</f>
        <v/>
      </c>
      <c r="F37" s="19" t="n"/>
    </row>
    <row r="38">
      <c r="A38" s="17" t="n"/>
      <c r="B38" s="19" t="n"/>
      <c r="C38" s="19" t="n"/>
      <c r="D38" s="28" t="n"/>
      <c r="E38" s="5">
        <f>IF(A38="","",DATE(YEAR(A38),MONTH(A38),1))</f>
        <v/>
      </c>
      <c r="F38" s="19" t="n"/>
    </row>
    <row r="39">
      <c r="A39" s="17" t="n"/>
      <c r="B39" s="19" t="n"/>
      <c r="C39" s="19" t="n"/>
      <c r="D39" s="28" t="n"/>
      <c r="E39" s="5">
        <f>IF(A39="","",DATE(YEAR(A39),MONTH(A39),1))</f>
        <v/>
      </c>
      <c r="F39" s="19" t="n"/>
    </row>
    <row r="40">
      <c r="A40" s="17" t="n"/>
      <c r="B40" s="19" t="n"/>
      <c r="C40" s="19" t="n"/>
      <c r="D40" s="28" t="n"/>
      <c r="E40" s="5">
        <f>IF(A40="","",DATE(YEAR(A40),MONTH(A40),1))</f>
        <v/>
      </c>
      <c r="F40" s="19" t="n"/>
    </row>
    <row r="41">
      <c r="A41" s="17" t="n"/>
      <c r="B41" s="19" t="n"/>
      <c r="C41" s="19" t="n"/>
      <c r="D41" s="28" t="n"/>
      <c r="E41" s="5">
        <f>IF(A41="","",DATE(YEAR(A41),MONTH(A41),1))</f>
        <v/>
      </c>
      <c r="F41" s="19" t="n"/>
    </row>
    <row r="42">
      <c r="A42" s="17" t="n"/>
      <c r="B42" s="19" t="n"/>
      <c r="C42" s="19" t="n"/>
      <c r="D42" s="28" t="n"/>
      <c r="E42" s="5">
        <f>IF(A42="","",DATE(YEAR(A42),MONTH(A42),1))</f>
        <v/>
      </c>
      <c r="F42" s="19" t="n"/>
    </row>
    <row r="43">
      <c r="A43" s="17" t="n"/>
      <c r="B43" s="19" t="n"/>
      <c r="C43" s="19" t="n"/>
      <c r="D43" s="28" t="n"/>
      <c r="E43" s="5">
        <f>IF(A43="","",DATE(YEAR(A43),MONTH(A43),1))</f>
        <v/>
      </c>
      <c r="F43" s="19" t="n"/>
    </row>
    <row r="44">
      <c r="A44" s="17" t="n"/>
      <c r="B44" s="19" t="n"/>
      <c r="C44" s="19" t="n"/>
      <c r="D44" s="28" t="n"/>
      <c r="E44" s="5">
        <f>IF(A44="","",DATE(YEAR(A44),MONTH(A44),1))</f>
        <v/>
      </c>
      <c r="F44" s="19" t="n"/>
    </row>
    <row r="45">
      <c r="A45" s="17" t="n"/>
      <c r="B45" s="19" t="n"/>
      <c r="C45" s="19" t="n"/>
      <c r="D45" s="28" t="n"/>
      <c r="E45" s="5">
        <f>IF(A45="","",DATE(YEAR(A45),MONTH(A45),1))</f>
        <v/>
      </c>
      <c r="F45" s="19" t="n"/>
    </row>
    <row r="46">
      <c r="A46" s="17" t="n"/>
      <c r="B46" s="19" t="n"/>
      <c r="C46" s="19" t="n"/>
      <c r="D46" s="28" t="n"/>
      <c r="E46" s="5">
        <f>IF(A46="","",DATE(YEAR(A46),MONTH(A46),1))</f>
        <v/>
      </c>
      <c r="F46" s="19" t="n"/>
    </row>
    <row r="47">
      <c r="A47" s="17" t="n"/>
      <c r="B47" s="19" t="n"/>
      <c r="C47" s="19" t="n"/>
      <c r="D47" s="28" t="n"/>
      <c r="E47" s="5">
        <f>IF(A47="","",DATE(YEAR(A47),MONTH(A47),1))</f>
        <v/>
      </c>
      <c r="F47" s="19" t="n"/>
    </row>
    <row r="48">
      <c r="A48" s="17" t="n"/>
      <c r="B48" s="19" t="n"/>
      <c r="C48" s="19" t="n"/>
      <c r="D48" s="28" t="n"/>
      <c r="E48" s="5">
        <f>IF(A48="","",DATE(YEAR(A48),MONTH(A48),1))</f>
        <v/>
      </c>
      <c r="F48" s="19" t="n"/>
    </row>
    <row r="49">
      <c r="A49" s="17" t="n"/>
      <c r="B49" s="19" t="n"/>
      <c r="C49" s="19" t="n"/>
      <c r="D49" s="28" t="n"/>
      <c r="E49" s="5">
        <f>IF(A49="","",DATE(YEAR(A49),MONTH(A49),1))</f>
        <v/>
      </c>
      <c r="F49" s="19" t="n"/>
    </row>
    <row r="50">
      <c r="A50" s="17" t="n"/>
      <c r="B50" s="19" t="n"/>
      <c r="C50" s="19" t="n"/>
      <c r="D50" s="28" t="n"/>
      <c r="E50" s="5">
        <f>IF(A50="","",DATE(YEAR(A50),MONTH(A50),1))</f>
        <v/>
      </c>
      <c r="F50" s="19" t="n"/>
    </row>
    <row r="51">
      <c r="A51" s="17" t="n"/>
      <c r="B51" s="19" t="n"/>
      <c r="C51" s="19" t="n"/>
      <c r="D51" s="28" t="n"/>
      <c r="E51" s="5">
        <f>IF(A51="","",DATE(YEAR(A51),MONTH(A51),1))</f>
        <v/>
      </c>
      <c r="F51" s="19" t="n"/>
    </row>
    <row r="52">
      <c r="A52" s="17" t="n"/>
      <c r="B52" s="19" t="n"/>
      <c r="C52" s="19" t="n"/>
      <c r="D52" s="28" t="n"/>
      <c r="E52" s="5">
        <f>IF(A52="","",DATE(YEAR(A52),MONTH(A52),1))</f>
        <v/>
      </c>
      <c r="F52" s="19" t="n"/>
    </row>
    <row r="53">
      <c r="A53" s="17" t="n"/>
      <c r="B53" s="19" t="n"/>
      <c r="C53" s="19" t="n"/>
      <c r="D53" s="28" t="n"/>
      <c r="E53" s="5">
        <f>IF(A53="","",DATE(YEAR(A53),MONTH(A53),1))</f>
        <v/>
      </c>
      <c r="F53" s="19" t="n"/>
    </row>
    <row r="54">
      <c r="A54" s="17" t="n"/>
      <c r="B54" s="19" t="n"/>
      <c r="C54" s="19" t="n"/>
      <c r="D54" s="28" t="n"/>
      <c r="E54" s="5">
        <f>IF(A54="","",DATE(YEAR(A54),MONTH(A54),1))</f>
        <v/>
      </c>
      <c r="F54" s="19" t="n"/>
    </row>
    <row r="55">
      <c r="A55" s="17" t="n"/>
      <c r="B55" s="19" t="n"/>
      <c r="C55" s="19" t="n"/>
      <c r="D55" s="28" t="n"/>
      <c r="E55" s="5">
        <f>IF(A55="","",DATE(YEAR(A55),MONTH(A55),1))</f>
        <v/>
      </c>
      <c r="F55" s="19" t="n"/>
    </row>
    <row r="56">
      <c r="A56" s="17" t="n"/>
      <c r="B56" s="19" t="n"/>
      <c r="C56" s="19" t="n"/>
      <c r="D56" s="28" t="n"/>
      <c r="E56" s="5">
        <f>IF(A56="","",DATE(YEAR(A56),MONTH(A56),1))</f>
        <v/>
      </c>
      <c r="F56" s="19" t="n"/>
    </row>
    <row r="57">
      <c r="A57" s="17" t="n"/>
      <c r="B57" s="19" t="n"/>
      <c r="C57" s="19" t="n"/>
      <c r="D57" s="28" t="n"/>
      <c r="E57" s="5">
        <f>IF(A57="","",DATE(YEAR(A57),MONTH(A57),1))</f>
        <v/>
      </c>
      <c r="F57" s="19" t="n"/>
    </row>
    <row r="58">
      <c r="A58" s="17" t="n"/>
      <c r="B58" s="19" t="n"/>
      <c r="C58" s="19" t="n"/>
      <c r="D58" s="28" t="n"/>
      <c r="E58" s="5">
        <f>IF(A58="","",DATE(YEAR(A58),MONTH(A58),1))</f>
        <v/>
      </c>
      <c r="F58" s="19" t="n"/>
    </row>
    <row r="59">
      <c r="A59" s="17" t="n"/>
      <c r="B59" s="19" t="n"/>
      <c r="C59" s="19" t="n"/>
      <c r="D59" s="28" t="n"/>
      <c r="E59" s="5">
        <f>IF(A59="","",DATE(YEAR(A59),MONTH(A59),1))</f>
        <v/>
      </c>
      <c r="F59" s="19" t="n"/>
    </row>
    <row r="60">
      <c r="A60" s="17" t="n"/>
      <c r="B60" s="19" t="n"/>
      <c r="C60" s="19" t="n"/>
      <c r="D60" s="28" t="n"/>
      <c r="E60" s="5">
        <f>IF(A60="","",DATE(YEAR(A60),MONTH(A60),1))</f>
        <v/>
      </c>
      <c r="F60" s="19" t="n"/>
    </row>
    <row r="61">
      <c r="A61" s="17" t="n"/>
      <c r="B61" s="19" t="n"/>
      <c r="C61" s="19" t="n"/>
      <c r="D61" s="28" t="n"/>
      <c r="E61" s="5">
        <f>IF(A61="","",DATE(YEAR(A61),MONTH(A61),1))</f>
        <v/>
      </c>
      <c r="F61" s="19" t="n"/>
    </row>
    <row r="62">
      <c r="A62" s="17" t="n"/>
      <c r="B62" s="19" t="n"/>
      <c r="C62" s="19" t="n"/>
      <c r="D62" s="28" t="n"/>
      <c r="E62" s="5">
        <f>IF(A62="","",DATE(YEAR(A62),MONTH(A62),1))</f>
        <v/>
      </c>
      <c r="F62" s="19" t="n"/>
    </row>
    <row r="63">
      <c r="A63" s="17" t="n"/>
      <c r="B63" s="19" t="n"/>
      <c r="C63" s="19" t="n"/>
      <c r="D63" s="28" t="n"/>
      <c r="E63" s="5">
        <f>IF(A63="","",DATE(YEAR(A63),MONTH(A63),1))</f>
        <v/>
      </c>
      <c r="F63" s="19" t="n"/>
    </row>
    <row r="64">
      <c r="A64" s="17" t="n"/>
      <c r="B64" s="19" t="n"/>
      <c r="C64" s="19" t="n"/>
      <c r="D64" s="28" t="n"/>
      <c r="E64" s="5">
        <f>IF(A64="","",DATE(YEAR(A64),MONTH(A64),1))</f>
        <v/>
      </c>
      <c r="F64" s="19" t="n"/>
    </row>
    <row r="65">
      <c r="A65" s="17" t="n"/>
      <c r="B65" s="19" t="n"/>
      <c r="C65" s="19" t="n"/>
      <c r="D65" s="28" t="n"/>
      <c r="E65" s="5">
        <f>IF(A65="","",DATE(YEAR(A65),MONTH(A65),1))</f>
        <v/>
      </c>
      <c r="F65" s="19" t="n"/>
    </row>
    <row r="66">
      <c r="A66" s="17" t="n"/>
      <c r="B66" s="19" t="n"/>
      <c r="C66" s="19" t="n"/>
      <c r="D66" s="28" t="n"/>
      <c r="E66" s="5">
        <f>IF(A66="","",DATE(YEAR(A66),MONTH(A66),1))</f>
        <v/>
      </c>
      <c r="F66" s="19" t="n"/>
    </row>
    <row r="67">
      <c r="A67" s="17" t="n"/>
      <c r="B67" s="19" t="n"/>
      <c r="C67" s="19" t="n"/>
      <c r="D67" s="28" t="n"/>
      <c r="E67" s="5">
        <f>IF(A67="","",DATE(YEAR(A67),MONTH(A67),1))</f>
        <v/>
      </c>
      <c r="F67" s="19" t="n"/>
    </row>
    <row r="68">
      <c r="A68" s="17" t="n"/>
      <c r="B68" s="19" t="n"/>
      <c r="C68" s="19" t="n"/>
      <c r="D68" s="28" t="n"/>
      <c r="E68" s="5">
        <f>IF(A68="","",DATE(YEAR(A68),MONTH(A68),1))</f>
        <v/>
      </c>
      <c r="F68" s="19" t="n"/>
    </row>
    <row r="69">
      <c r="A69" s="17" t="n"/>
      <c r="B69" s="19" t="n"/>
      <c r="C69" s="19" t="n"/>
      <c r="D69" s="28" t="n"/>
      <c r="E69" s="5">
        <f>IF(A69="","",DATE(YEAR(A69),MONTH(A69),1))</f>
        <v/>
      </c>
      <c r="F69" s="19" t="n"/>
    </row>
    <row r="70">
      <c r="A70" s="17" t="n"/>
      <c r="B70" s="19" t="n"/>
      <c r="C70" s="19" t="n"/>
      <c r="D70" s="28" t="n"/>
      <c r="E70" s="5">
        <f>IF(A70="","",DATE(YEAR(A70),MONTH(A70),1))</f>
        <v/>
      </c>
      <c r="F70" s="19" t="n"/>
    </row>
    <row r="71">
      <c r="A71" s="17" t="n"/>
      <c r="B71" s="19" t="n"/>
      <c r="C71" s="19" t="n"/>
      <c r="D71" s="28" t="n"/>
      <c r="E71" s="5">
        <f>IF(A71="","",DATE(YEAR(A71),MONTH(A71),1))</f>
        <v/>
      </c>
      <c r="F71" s="19" t="n"/>
    </row>
    <row r="72">
      <c r="A72" s="17" t="n"/>
      <c r="B72" s="19" t="n"/>
      <c r="C72" s="19" t="n"/>
      <c r="D72" s="28" t="n"/>
      <c r="E72" s="5">
        <f>IF(A72="","",DATE(YEAR(A72),MONTH(A72),1))</f>
        <v/>
      </c>
      <c r="F72" s="19" t="n"/>
    </row>
    <row r="73">
      <c r="A73" s="17" t="n"/>
      <c r="B73" s="19" t="n"/>
      <c r="C73" s="19" t="n"/>
      <c r="D73" s="28" t="n"/>
      <c r="E73" s="5">
        <f>IF(A73="","",DATE(YEAR(A73),MONTH(A73),1))</f>
        <v/>
      </c>
      <c r="F73" s="19" t="n"/>
    </row>
    <row r="74">
      <c r="A74" s="17" t="n"/>
      <c r="B74" s="19" t="n"/>
      <c r="C74" s="19" t="n"/>
      <c r="D74" s="28" t="n"/>
      <c r="E74" s="5">
        <f>IF(A74="","",DATE(YEAR(A74),MONTH(A74),1))</f>
        <v/>
      </c>
      <c r="F74" s="19" t="n"/>
    </row>
    <row r="75">
      <c r="A75" s="17" t="n"/>
      <c r="B75" s="19" t="n"/>
      <c r="C75" s="19" t="n"/>
      <c r="D75" s="28" t="n"/>
      <c r="E75" s="5">
        <f>IF(A75="","",DATE(YEAR(A75),MONTH(A75),1))</f>
        <v/>
      </c>
      <c r="F75" s="19" t="n"/>
    </row>
    <row r="76">
      <c r="A76" s="17" t="n"/>
      <c r="B76" s="19" t="n"/>
      <c r="C76" s="19" t="n"/>
      <c r="D76" s="28" t="n"/>
      <c r="E76" s="5">
        <f>IF(A76="","",DATE(YEAR(A76),MONTH(A76),1))</f>
        <v/>
      </c>
      <c r="F76" s="19" t="n"/>
    </row>
    <row r="77">
      <c r="A77" s="17" t="n"/>
      <c r="B77" s="19" t="n"/>
      <c r="C77" s="19" t="n"/>
      <c r="D77" s="28" t="n"/>
      <c r="E77" s="5">
        <f>IF(A77="","",DATE(YEAR(A77),MONTH(A77),1))</f>
        <v/>
      </c>
      <c r="F77" s="19" t="n"/>
    </row>
    <row r="78">
      <c r="A78" s="17" t="n"/>
      <c r="B78" s="19" t="n"/>
      <c r="C78" s="19" t="n"/>
      <c r="D78" s="28" t="n"/>
      <c r="E78" s="5">
        <f>IF(A78="","",DATE(YEAR(A78),MONTH(A78),1))</f>
        <v/>
      </c>
      <c r="F78" s="19" t="n"/>
    </row>
    <row r="79">
      <c r="A79" s="17" t="n"/>
      <c r="B79" s="19" t="n"/>
      <c r="C79" s="19" t="n"/>
      <c r="D79" s="28" t="n"/>
      <c r="E79" s="5">
        <f>IF(A79="","",DATE(YEAR(A79),MONTH(A79),1))</f>
        <v/>
      </c>
      <c r="F79" s="19" t="n"/>
    </row>
    <row r="80">
      <c r="A80" s="17" t="n"/>
      <c r="B80" s="19" t="n"/>
      <c r="C80" s="19" t="n"/>
      <c r="D80" s="28" t="n"/>
      <c r="E80" s="5">
        <f>IF(A80="","",DATE(YEAR(A80),MONTH(A80),1))</f>
        <v/>
      </c>
      <c r="F80" s="19" t="n"/>
    </row>
    <row r="81">
      <c r="A81" s="17" t="n"/>
      <c r="B81" s="19" t="n"/>
      <c r="C81" s="19" t="n"/>
      <c r="D81" s="28" t="n"/>
      <c r="E81" s="5">
        <f>IF(A81="","",DATE(YEAR(A81),MONTH(A81),1))</f>
        <v/>
      </c>
      <c r="F81" s="19" t="n"/>
    </row>
    <row r="82">
      <c r="A82" s="17" t="n"/>
      <c r="B82" s="19" t="n"/>
      <c r="C82" s="19" t="n"/>
      <c r="D82" s="28" t="n"/>
      <c r="E82" s="5">
        <f>IF(A82="","",DATE(YEAR(A82),MONTH(A82),1))</f>
        <v/>
      </c>
      <c r="F82" s="19" t="n"/>
    </row>
    <row r="83">
      <c r="A83" s="17" t="n"/>
      <c r="B83" s="19" t="n"/>
      <c r="C83" s="19" t="n"/>
      <c r="D83" s="28" t="n"/>
      <c r="E83" s="5">
        <f>IF(A83="","",DATE(YEAR(A83),MONTH(A83),1))</f>
        <v/>
      </c>
      <c r="F83" s="19" t="n"/>
    </row>
    <row r="84">
      <c r="A84" s="17" t="n"/>
      <c r="B84" s="19" t="n"/>
      <c r="C84" s="19" t="n"/>
      <c r="D84" s="28" t="n"/>
      <c r="E84" s="5">
        <f>IF(A84="","",DATE(YEAR(A84),MONTH(A84),1))</f>
        <v/>
      </c>
      <c r="F84" s="19" t="n"/>
    </row>
    <row r="85">
      <c r="A85" s="17" t="n"/>
      <c r="B85" s="19" t="n"/>
      <c r="C85" s="19" t="n"/>
      <c r="D85" s="28" t="n"/>
      <c r="E85" s="5">
        <f>IF(A85="","",DATE(YEAR(A85),MONTH(A85),1))</f>
        <v/>
      </c>
      <c r="F85" s="19" t="n"/>
    </row>
    <row r="86">
      <c r="A86" s="17" t="n"/>
      <c r="B86" s="19" t="n"/>
      <c r="C86" s="19" t="n"/>
      <c r="D86" s="28" t="n"/>
      <c r="E86" s="5">
        <f>IF(A86="","",DATE(YEAR(A86),MONTH(A86),1))</f>
        <v/>
      </c>
      <c r="F86" s="19" t="n"/>
    </row>
    <row r="87">
      <c r="A87" s="17" t="n"/>
      <c r="B87" s="19" t="n"/>
      <c r="C87" s="19" t="n"/>
      <c r="D87" s="28" t="n"/>
      <c r="E87" s="5">
        <f>IF(A87="","",DATE(YEAR(A87),MONTH(A87),1))</f>
        <v/>
      </c>
      <c r="F87" s="19" t="n"/>
    </row>
    <row r="88">
      <c r="A88" s="17" t="n"/>
      <c r="B88" s="19" t="n"/>
      <c r="C88" s="19" t="n"/>
      <c r="D88" s="28" t="n"/>
      <c r="E88" s="5">
        <f>IF(A88="","",DATE(YEAR(A88),MONTH(A88),1))</f>
        <v/>
      </c>
      <c r="F88" s="19" t="n"/>
    </row>
    <row r="89">
      <c r="A89" s="17" t="n"/>
      <c r="B89" s="19" t="n"/>
      <c r="C89" s="19" t="n"/>
      <c r="D89" s="28" t="n"/>
      <c r="E89" s="5">
        <f>IF(A89="","",DATE(YEAR(A89),MONTH(A89),1))</f>
        <v/>
      </c>
      <c r="F89" s="19" t="n"/>
    </row>
    <row r="90">
      <c r="A90" s="17" t="n"/>
      <c r="B90" s="19" t="n"/>
      <c r="C90" s="19" t="n"/>
      <c r="D90" s="28" t="n"/>
      <c r="E90" s="5">
        <f>IF(A90="","",DATE(YEAR(A90),MONTH(A90),1))</f>
        <v/>
      </c>
      <c r="F90" s="19" t="n"/>
    </row>
    <row r="91">
      <c r="A91" s="17" t="n"/>
      <c r="B91" s="19" t="n"/>
      <c r="C91" s="19" t="n"/>
      <c r="D91" s="28" t="n"/>
      <c r="E91" s="5">
        <f>IF(A91="","",DATE(YEAR(A91),MONTH(A91),1))</f>
        <v/>
      </c>
      <c r="F91" s="19" t="n"/>
    </row>
    <row r="92">
      <c r="A92" s="17" t="n"/>
      <c r="B92" s="19" t="n"/>
      <c r="C92" s="19" t="n"/>
      <c r="D92" s="28" t="n"/>
      <c r="E92" s="5">
        <f>IF(A92="","",DATE(YEAR(A92),MONTH(A92),1))</f>
        <v/>
      </c>
      <c r="F92" s="19" t="n"/>
    </row>
    <row r="93">
      <c r="A93" s="17" t="n"/>
      <c r="B93" s="19" t="n"/>
      <c r="C93" s="19" t="n"/>
      <c r="D93" s="28" t="n"/>
      <c r="E93" s="5">
        <f>IF(A93="","",DATE(YEAR(A93),MONTH(A93),1))</f>
        <v/>
      </c>
      <c r="F93" s="19" t="n"/>
    </row>
    <row r="94">
      <c r="A94" s="17" t="n"/>
      <c r="B94" s="19" t="n"/>
      <c r="C94" s="19" t="n"/>
      <c r="D94" s="28" t="n"/>
      <c r="E94" s="5">
        <f>IF(A94="","",DATE(YEAR(A94),MONTH(A94),1))</f>
        <v/>
      </c>
      <c r="F94" s="19" t="n"/>
    </row>
    <row r="95">
      <c r="A95" s="17" t="n"/>
      <c r="B95" s="19" t="n"/>
      <c r="C95" s="19" t="n"/>
      <c r="D95" s="28" t="n"/>
      <c r="E95" s="5">
        <f>IF(A95="","",DATE(YEAR(A95),MONTH(A95),1))</f>
        <v/>
      </c>
      <c r="F95" s="19" t="n"/>
    </row>
    <row r="96">
      <c r="A96" s="17" t="n"/>
      <c r="B96" s="19" t="n"/>
      <c r="C96" s="19" t="n"/>
      <c r="D96" s="28" t="n"/>
      <c r="E96" s="5">
        <f>IF(A96="","",DATE(YEAR(A96),MONTH(A96),1))</f>
        <v/>
      </c>
      <c r="F96" s="19" t="n"/>
    </row>
    <row r="97">
      <c r="A97" s="17" t="n"/>
      <c r="B97" s="19" t="n"/>
      <c r="C97" s="19" t="n"/>
      <c r="D97" s="28" t="n"/>
      <c r="E97" s="5">
        <f>IF(A97="","",DATE(YEAR(A97),MONTH(A97),1))</f>
        <v/>
      </c>
      <c r="F97" s="19" t="n"/>
    </row>
    <row r="98">
      <c r="A98" s="17" t="n"/>
      <c r="B98" s="19" t="n"/>
      <c r="C98" s="19" t="n"/>
      <c r="D98" s="28" t="n"/>
      <c r="E98" s="5">
        <f>IF(A98="","",DATE(YEAR(A98),MONTH(A98),1))</f>
        <v/>
      </c>
      <c r="F98" s="19" t="n"/>
    </row>
    <row r="99">
      <c r="A99" s="17" t="n"/>
      <c r="B99" s="19" t="n"/>
      <c r="C99" s="19" t="n"/>
      <c r="D99" s="28" t="n"/>
      <c r="E99" s="5">
        <f>IF(A99="","",DATE(YEAR(A99),MONTH(A99),1))</f>
        <v/>
      </c>
      <c r="F99" s="19" t="n"/>
    </row>
    <row r="100">
      <c r="A100" s="17" t="n"/>
      <c r="B100" s="19" t="n"/>
      <c r="C100" s="19" t="n"/>
      <c r="D100" s="28" t="n"/>
      <c r="E100" s="5">
        <f>IF(A100="","",DATE(YEAR(A100),MONTH(A100),1))</f>
        <v/>
      </c>
      <c r="F100" s="19" t="n"/>
    </row>
    <row r="101">
      <c r="A101" s="17" t="n"/>
      <c r="B101" s="19" t="n"/>
      <c r="C101" s="19" t="n"/>
      <c r="D101" s="28" t="n"/>
      <c r="E101" s="5">
        <f>IF(A101="","",DATE(YEAR(A101),MONTH(A101),1))</f>
        <v/>
      </c>
      <c r="F101" s="19" t="n"/>
    </row>
    <row r="102">
      <c r="A102" s="17" t="n"/>
      <c r="B102" s="19" t="n"/>
      <c r="C102" s="19" t="n"/>
      <c r="D102" s="28" t="n"/>
      <c r="E102" s="5">
        <f>IF(A102="","",DATE(YEAR(A102),MONTH(A102),1))</f>
        <v/>
      </c>
      <c r="F102" s="19" t="n"/>
    </row>
    <row r="103">
      <c r="A103" s="17" t="n"/>
      <c r="B103" s="19" t="n"/>
      <c r="C103" s="19" t="n"/>
      <c r="D103" s="28" t="n"/>
      <c r="E103" s="5">
        <f>IF(A103="","",DATE(YEAR(A103),MONTH(A103),1))</f>
        <v/>
      </c>
      <c r="F103" s="19" t="n"/>
    </row>
    <row r="104">
      <c r="A104" s="17" t="n"/>
      <c r="B104" s="19" t="n"/>
      <c r="C104" s="19" t="n"/>
      <c r="D104" s="28" t="n"/>
      <c r="E104" s="5">
        <f>IF(A104="","",DATE(YEAR(A104),MONTH(A104),1))</f>
        <v/>
      </c>
      <c r="F104" s="19" t="n"/>
    </row>
    <row r="105">
      <c r="A105" s="17" t="n"/>
      <c r="B105" s="19" t="n"/>
      <c r="C105" s="19" t="n"/>
      <c r="D105" s="28" t="n"/>
      <c r="E105" s="5">
        <f>IF(A105="","",DATE(YEAR(A105),MONTH(A105),1))</f>
        <v/>
      </c>
      <c r="F105" s="19" t="n"/>
    </row>
    <row r="106">
      <c r="A106" s="17" t="n"/>
      <c r="B106" s="19" t="n"/>
      <c r="C106" s="19" t="n"/>
      <c r="D106" s="28" t="n"/>
      <c r="E106" s="5">
        <f>IF(A106="","",DATE(YEAR(A106),MONTH(A106),1))</f>
        <v/>
      </c>
      <c r="F106" s="19" t="n"/>
    </row>
    <row r="107">
      <c r="A107" s="17" t="n"/>
      <c r="B107" s="19" t="n"/>
      <c r="C107" s="19" t="n"/>
      <c r="D107" s="28" t="n"/>
      <c r="E107" s="5">
        <f>IF(A107="","",DATE(YEAR(A107),MONTH(A107),1))</f>
        <v/>
      </c>
      <c r="F107" s="19" t="n"/>
    </row>
    <row r="108">
      <c r="A108" s="17" t="n"/>
      <c r="B108" s="19" t="n"/>
      <c r="C108" s="19" t="n"/>
      <c r="D108" s="28" t="n"/>
      <c r="E108" s="5">
        <f>IF(A108="","",DATE(YEAR(A108),MONTH(A108),1))</f>
        <v/>
      </c>
      <c r="F108" s="19" t="n"/>
    </row>
    <row r="109">
      <c r="A109" s="17" t="n"/>
      <c r="B109" s="19" t="n"/>
      <c r="C109" s="19" t="n"/>
      <c r="D109" s="28" t="n"/>
      <c r="E109" s="5">
        <f>IF(A109="","",DATE(YEAR(A109),MONTH(A109),1))</f>
        <v/>
      </c>
      <c r="F109" s="19" t="n"/>
    </row>
    <row r="110">
      <c r="A110" s="17" t="n"/>
      <c r="B110" s="19" t="n"/>
      <c r="C110" s="19" t="n"/>
      <c r="D110" s="28" t="n"/>
      <c r="E110" s="5">
        <f>IF(A110="","",DATE(YEAR(A110),MONTH(A110),1))</f>
        <v/>
      </c>
      <c r="F110" s="19" t="n"/>
    </row>
    <row r="111">
      <c r="A111" s="17" t="n"/>
      <c r="B111" s="19" t="n"/>
      <c r="C111" s="19" t="n"/>
      <c r="D111" s="28" t="n"/>
      <c r="E111" s="5">
        <f>IF(A111="","",DATE(YEAR(A111),MONTH(A111),1))</f>
        <v/>
      </c>
      <c r="F111" s="19" t="n"/>
    </row>
    <row r="112">
      <c r="A112" s="17" t="n"/>
      <c r="B112" s="19" t="n"/>
      <c r="C112" s="19" t="n"/>
      <c r="D112" s="28" t="n"/>
      <c r="E112" s="5">
        <f>IF(A112="","",DATE(YEAR(A112),MONTH(A112),1))</f>
        <v/>
      </c>
      <c r="F112" s="19" t="n"/>
    </row>
    <row r="113">
      <c r="A113" s="17" t="n"/>
      <c r="B113" s="19" t="n"/>
      <c r="C113" s="19" t="n"/>
      <c r="D113" s="28" t="n"/>
      <c r="E113" s="5">
        <f>IF(A113="","",DATE(YEAR(A113),MONTH(A113),1))</f>
        <v/>
      </c>
      <c r="F113" s="19" t="n"/>
    </row>
    <row r="114">
      <c r="A114" s="17" t="n"/>
      <c r="B114" s="19" t="n"/>
      <c r="C114" s="19" t="n"/>
      <c r="D114" s="28" t="n"/>
      <c r="E114" s="5">
        <f>IF(A114="","",DATE(YEAR(A114),MONTH(A114),1))</f>
        <v/>
      </c>
      <c r="F114" s="19" t="n"/>
    </row>
    <row r="115">
      <c r="A115" s="17" t="n"/>
      <c r="B115" s="19" t="n"/>
      <c r="C115" s="19" t="n"/>
      <c r="D115" s="28" t="n"/>
      <c r="E115" s="5">
        <f>IF(A115="","",DATE(YEAR(A115),MONTH(A115),1))</f>
        <v/>
      </c>
      <c r="F115" s="19" t="n"/>
    </row>
    <row r="116">
      <c r="A116" s="17" t="n"/>
      <c r="B116" s="19" t="n"/>
      <c r="C116" s="19" t="n"/>
      <c r="D116" s="28" t="n"/>
      <c r="E116" s="5">
        <f>IF(A116="","",DATE(YEAR(A116),MONTH(A116),1))</f>
        <v/>
      </c>
      <c r="F116" s="19" t="n"/>
    </row>
    <row r="117">
      <c r="A117" s="17" t="n"/>
      <c r="B117" s="19" t="n"/>
      <c r="C117" s="19" t="n"/>
      <c r="D117" s="28" t="n"/>
      <c r="E117" s="5">
        <f>IF(A117="","",DATE(YEAR(A117),MONTH(A117),1))</f>
        <v/>
      </c>
      <c r="F117" s="19" t="n"/>
    </row>
    <row r="118">
      <c r="A118" s="17" t="n"/>
      <c r="B118" s="19" t="n"/>
      <c r="C118" s="19" t="n"/>
      <c r="D118" s="28" t="n"/>
      <c r="E118" s="5">
        <f>IF(A118="","",DATE(YEAR(A118),MONTH(A118),1))</f>
        <v/>
      </c>
      <c r="F118" s="19" t="n"/>
    </row>
    <row r="119">
      <c r="A119" s="17" t="n"/>
      <c r="B119" s="19" t="n"/>
      <c r="C119" s="19" t="n"/>
      <c r="D119" s="28" t="n"/>
      <c r="E119" s="5">
        <f>IF(A119="","",DATE(YEAR(A119),MONTH(A119),1))</f>
        <v/>
      </c>
      <c r="F119" s="19" t="n"/>
    </row>
    <row r="120">
      <c r="A120" s="17" t="n"/>
      <c r="B120" s="19" t="n"/>
      <c r="C120" s="19" t="n"/>
      <c r="D120" s="28" t="n"/>
      <c r="E120" s="5">
        <f>IF(A120="","",DATE(YEAR(A120),MONTH(A120),1))</f>
        <v/>
      </c>
      <c r="F120" s="19" t="n"/>
    </row>
    <row r="121">
      <c r="A121" s="17" t="n"/>
      <c r="B121" s="19" t="n"/>
      <c r="C121" s="19" t="n"/>
      <c r="D121" s="28" t="n"/>
      <c r="E121" s="5">
        <f>IF(A121="","",DATE(YEAR(A121),MONTH(A121),1))</f>
        <v/>
      </c>
      <c r="F121" s="19" t="n"/>
    </row>
    <row r="122">
      <c r="A122" s="17" t="n"/>
      <c r="B122" s="19" t="n"/>
      <c r="C122" s="19" t="n"/>
      <c r="D122" s="28" t="n"/>
      <c r="E122" s="5">
        <f>IF(A122="","",DATE(YEAR(A122),MONTH(A122),1))</f>
        <v/>
      </c>
      <c r="F122" s="19" t="n"/>
    </row>
    <row r="123">
      <c r="A123" s="17" t="n"/>
      <c r="B123" s="19" t="n"/>
      <c r="C123" s="19" t="n"/>
      <c r="D123" s="28" t="n"/>
      <c r="E123" s="5">
        <f>IF(A123="","",DATE(YEAR(A123),MONTH(A123),1))</f>
        <v/>
      </c>
      <c r="F123" s="19" t="n"/>
    </row>
    <row r="124">
      <c r="A124" s="17" t="n"/>
      <c r="B124" s="19" t="n"/>
      <c r="C124" s="19" t="n"/>
      <c r="D124" s="28" t="n"/>
      <c r="E124" s="5">
        <f>IF(A124="","",DATE(YEAR(A124),MONTH(A124),1))</f>
        <v/>
      </c>
      <c r="F124" s="19" t="n"/>
    </row>
    <row r="125">
      <c r="A125" s="17" t="n"/>
      <c r="B125" s="19" t="n"/>
      <c r="C125" s="19" t="n"/>
      <c r="D125" s="28" t="n"/>
      <c r="E125" s="5">
        <f>IF(A125="","",DATE(YEAR(A125),MONTH(A125),1))</f>
        <v/>
      </c>
      <c r="F125" s="19" t="n"/>
    </row>
    <row r="126">
      <c r="A126" s="17" t="n"/>
      <c r="B126" s="19" t="n"/>
      <c r="C126" s="19" t="n"/>
      <c r="D126" s="28" t="n"/>
      <c r="E126" s="5">
        <f>IF(A126="","",DATE(YEAR(A126),MONTH(A126),1))</f>
        <v/>
      </c>
      <c r="F126" s="19" t="n"/>
    </row>
    <row r="127">
      <c r="A127" s="17" t="n"/>
      <c r="B127" s="19" t="n"/>
      <c r="C127" s="19" t="n"/>
      <c r="D127" s="28" t="n"/>
      <c r="E127" s="5">
        <f>IF(A127="","",DATE(YEAR(A127),MONTH(A127),1))</f>
        <v/>
      </c>
      <c r="F127" s="19" t="n"/>
    </row>
    <row r="128">
      <c r="A128" s="17" t="n"/>
      <c r="B128" s="19" t="n"/>
      <c r="C128" s="19" t="n"/>
      <c r="D128" s="28" t="n"/>
      <c r="E128" s="5">
        <f>IF(A128="","",DATE(YEAR(A128),MONTH(A128),1))</f>
        <v/>
      </c>
      <c r="F128" s="19" t="n"/>
    </row>
    <row r="129">
      <c r="A129" s="17" t="n"/>
      <c r="B129" s="19" t="n"/>
      <c r="C129" s="19" t="n"/>
      <c r="D129" s="28" t="n"/>
      <c r="E129" s="5">
        <f>IF(A129="","",DATE(YEAR(A129),MONTH(A129),1))</f>
        <v/>
      </c>
      <c r="F129" s="19" t="n"/>
    </row>
    <row r="130">
      <c r="A130" s="17" t="n"/>
      <c r="B130" s="19" t="n"/>
      <c r="C130" s="19" t="n"/>
      <c r="D130" s="28" t="n"/>
      <c r="E130" s="5">
        <f>IF(A130="","",DATE(YEAR(A130),MONTH(A130),1))</f>
        <v/>
      </c>
      <c r="F130" s="19" t="n"/>
    </row>
    <row r="131">
      <c r="A131" s="17" t="n"/>
      <c r="B131" s="19" t="n"/>
      <c r="C131" s="19" t="n"/>
      <c r="D131" s="28" t="n"/>
      <c r="E131" s="5">
        <f>IF(A131="","",DATE(YEAR(A131),MONTH(A131),1))</f>
        <v/>
      </c>
      <c r="F131" s="19" t="n"/>
    </row>
    <row r="132">
      <c r="A132" s="17" t="n"/>
      <c r="B132" s="19" t="n"/>
      <c r="C132" s="19" t="n"/>
      <c r="D132" s="28" t="n"/>
      <c r="E132" s="5">
        <f>IF(A132="","",DATE(YEAR(A132),MONTH(A132),1))</f>
        <v/>
      </c>
      <c r="F132" s="19" t="n"/>
    </row>
    <row r="133">
      <c r="A133" s="17" t="n"/>
      <c r="B133" s="19" t="n"/>
      <c r="C133" s="19" t="n"/>
      <c r="D133" s="28" t="n"/>
      <c r="E133" s="5">
        <f>IF(A133="","",DATE(YEAR(A133),MONTH(A133),1))</f>
        <v/>
      </c>
      <c r="F133" s="19" t="n"/>
    </row>
    <row r="134">
      <c r="A134" s="17" t="n"/>
      <c r="B134" s="19" t="n"/>
      <c r="C134" s="19" t="n"/>
      <c r="D134" s="28" t="n"/>
      <c r="E134" s="5">
        <f>IF(A134="","",DATE(YEAR(A134),MONTH(A134),1))</f>
        <v/>
      </c>
      <c r="F134" s="19" t="n"/>
    </row>
    <row r="135">
      <c r="A135" s="17" t="n"/>
      <c r="B135" s="19" t="n"/>
      <c r="C135" s="19" t="n"/>
      <c r="D135" s="28" t="n"/>
      <c r="E135" s="5">
        <f>IF(A135="","",DATE(YEAR(A135),MONTH(A135),1))</f>
        <v/>
      </c>
      <c r="F135" s="19" t="n"/>
    </row>
    <row r="136">
      <c r="A136" s="17" t="n"/>
      <c r="B136" s="19" t="n"/>
      <c r="C136" s="19" t="n"/>
      <c r="D136" s="28" t="n"/>
      <c r="E136" s="5">
        <f>IF(A136="","",DATE(YEAR(A136),MONTH(A136),1))</f>
        <v/>
      </c>
      <c r="F136" s="19" t="n"/>
    </row>
    <row r="137">
      <c r="A137" s="17" t="n"/>
      <c r="B137" s="19" t="n"/>
      <c r="C137" s="19" t="n"/>
      <c r="D137" s="28" t="n"/>
      <c r="E137" s="5">
        <f>IF(A137="","",DATE(YEAR(A137),MONTH(A137),1))</f>
        <v/>
      </c>
      <c r="F137" s="19" t="n"/>
    </row>
    <row r="138">
      <c r="A138" s="17" t="n"/>
      <c r="B138" s="19" t="n"/>
      <c r="C138" s="19" t="n"/>
      <c r="D138" s="28" t="n"/>
      <c r="E138" s="5">
        <f>IF(A138="","",DATE(YEAR(A138),MONTH(A138),1))</f>
        <v/>
      </c>
      <c r="F138" s="19" t="n"/>
    </row>
    <row r="139">
      <c r="A139" s="17" t="n"/>
      <c r="B139" s="19" t="n"/>
      <c r="C139" s="19" t="n"/>
      <c r="D139" s="28" t="n"/>
      <c r="E139" s="5">
        <f>IF(A139="","",DATE(YEAR(A139),MONTH(A139),1))</f>
        <v/>
      </c>
      <c r="F139" s="19" t="n"/>
    </row>
    <row r="140">
      <c r="A140" s="17" t="n"/>
      <c r="B140" s="19" t="n"/>
      <c r="C140" s="19" t="n"/>
      <c r="D140" s="28" t="n"/>
      <c r="E140" s="5">
        <f>IF(A140="","",DATE(YEAR(A140),MONTH(A140),1))</f>
        <v/>
      </c>
      <c r="F140" s="19" t="n"/>
    </row>
    <row r="141">
      <c r="A141" s="17" t="n"/>
      <c r="B141" s="19" t="n"/>
      <c r="C141" s="19" t="n"/>
      <c r="D141" s="28" t="n"/>
      <c r="E141" s="5">
        <f>IF(A141="","",DATE(YEAR(A141),MONTH(A141),1))</f>
        <v/>
      </c>
      <c r="F141" s="19" t="n"/>
    </row>
    <row r="142">
      <c r="A142" s="17" t="n"/>
      <c r="B142" s="19" t="n"/>
      <c r="C142" s="19" t="n"/>
      <c r="D142" s="28" t="n"/>
      <c r="E142" s="5">
        <f>IF(A142="","",DATE(YEAR(A142),MONTH(A142),1))</f>
        <v/>
      </c>
      <c r="F142" s="19" t="n"/>
    </row>
    <row r="143">
      <c r="A143" s="17" t="n"/>
      <c r="B143" s="19" t="n"/>
      <c r="C143" s="19" t="n"/>
      <c r="D143" s="28" t="n"/>
      <c r="E143" s="5">
        <f>IF(A143="","",DATE(YEAR(A143),MONTH(A143),1))</f>
        <v/>
      </c>
      <c r="F143" s="19" t="n"/>
    </row>
    <row r="144">
      <c r="A144" s="17" t="n"/>
      <c r="B144" s="19" t="n"/>
      <c r="C144" s="19" t="n"/>
      <c r="D144" s="28" t="n"/>
      <c r="E144" s="5">
        <f>IF(A144="","",DATE(YEAR(A144),MONTH(A144),1))</f>
        <v/>
      </c>
      <c r="F144" s="19" t="n"/>
    </row>
    <row r="145">
      <c r="A145" s="17" t="n"/>
      <c r="B145" s="19" t="n"/>
      <c r="C145" s="19" t="n"/>
      <c r="D145" s="28" t="n"/>
      <c r="E145" s="5">
        <f>IF(A145="","",DATE(YEAR(A145),MONTH(A145),1))</f>
        <v/>
      </c>
      <c r="F145" s="19" t="n"/>
    </row>
    <row r="146">
      <c r="A146" s="17" t="n"/>
      <c r="B146" s="19" t="n"/>
      <c r="C146" s="19" t="n"/>
      <c r="D146" s="28" t="n"/>
      <c r="E146" s="5">
        <f>IF(A146="","",DATE(YEAR(A146),MONTH(A146),1))</f>
        <v/>
      </c>
      <c r="F146" s="19" t="n"/>
    </row>
    <row r="147">
      <c r="A147" s="17" t="n"/>
      <c r="B147" s="19" t="n"/>
      <c r="C147" s="19" t="n"/>
      <c r="D147" s="28" t="n"/>
      <c r="E147" s="5">
        <f>IF(A147="","",DATE(YEAR(A147),MONTH(A147),1))</f>
        <v/>
      </c>
      <c r="F147" s="19" t="n"/>
    </row>
    <row r="148">
      <c r="A148" s="17" t="n"/>
      <c r="B148" s="19" t="n"/>
      <c r="C148" s="19" t="n"/>
      <c r="D148" s="28" t="n"/>
      <c r="E148" s="5">
        <f>IF(A148="","",DATE(YEAR(A148),MONTH(A148),1))</f>
        <v/>
      </c>
      <c r="F148" s="19" t="n"/>
    </row>
    <row r="149">
      <c r="A149" s="17" t="n"/>
      <c r="B149" s="19" t="n"/>
      <c r="C149" s="19" t="n"/>
      <c r="D149" s="28" t="n"/>
      <c r="E149" s="5">
        <f>IF(A149="","",DATE(YEAR(A149),MONTH(A149),1))</f>
        <v/>
      </c>
      <c r="F149" s="19" t="n"/>
    </row>
    <row r="150">
      <c r="A150" s="17" t="n"/>
      <c r="B150" s="19" t="n"/>
      <c r="C150" s="19" t="n"/>
      <c r="D150" s="28" t="n"/>
      <c r="E150" s="5">
        <f>IF(A150="","",DATE(YEAR(A150),MONTH(A150),1))</f>
        <v/>
      </c>
      <c r="F150" s="19" t="n"/>
    </row>
    <row r="151">
      <c r="A151" s="17" t="n"/>
      <c r="B151" s="19" t="n"/>
      <c r="C151" s="19" t="n"/>
      <c r="D151" s="28" t="n"/>
      <c r="E151" s="5">
        <f>IF(A151="","",DATE(YEAR(A151),MONTH(A151),1))</f>
        <v/>
      </c>
      <c r="F151" s="19" t="n"/>
    </row>
    <row r="152">
      <c r="A152" s="17" t="n"/>
      <c r="B152" s="19" t="n"/>
      <c r="C152" s="19" t="n"/>
      <c r="D152" s="28" t="n"/>
      <c r="E152" s="5">
        <f>IF(A152="","",DATE(YEAR(A152),MONTH(A152),1))</f>
        <v/>
      </c>
      <c r="F152" s="19" t="n"/>
    </row>
    <row r="153">
      <c r="A153" s="17" t="n"/>
      <c r="B153" s="19" t="n"/>
      <c r="C153" s="19" t="n"/>
      <c r="D153" s="28" t="n"/>
      <c r="E153" s="5">
        <f>IF(A153="","",DATE(YEAR(A153),MONTH(A153),1))</f>
        <v/>
      </c>
      <c r="F153" s="19" t="n"/>
    </row>
    <row r="154">
      <c r="A154" s="17" t="n"/>
      <c r="B154" s="19" t="n"/>
      <c r="C154" s="19" t="n"/>
      <c r="D154" s="28" t="n"/>
      <c r="E154" s="5">
        <f>IF(A154="","",DATE(YEAR(A154),MONTH(A154),1))</f>
        <v/>
      </c>
      <c r="F154" s="19" t="n"/>
    </row>
    <row r="155">
      <c r="A155" s="17" t="n"/>
      <c r="B155" s="19" t="n"/>
      <c r="C155" s="19" t="n"/>
      <c r="D155" s="28" t="n"/>
      <c r="E155" s="5">
        <f>IF(A155="","",DATE(YEAR(A155),MONTH(A155),1))</f>
        <v/>
      </c>
      <c r="F155" s="19" t="n"/>
    </row>
    <row r="156">
      <c r="A156" s="17" t="n"/>
      <c r="B156" s="19" t="n"/>
      <c r="C156" s="19" t="n"/>
      <c r="D156" s="28" t="n"/>
      <c r="E156" s="5">
        <f>IF(A156="","",DATE(YEAR(A156),MONTH(A156),1))</f>
        <v/>
      </c>
      <c r="F156" s="19" t="n"/>
    </row>
    <row r="157">
      <c r="A157" s="17" t="n"/>
      <c r="B157" s="19" t="n"/>
      <c r="C157" s="19" t="n"/>
      <c r="D157" s="28" t="n"/>
      <c r="E157" s="5">
        <f>IF(A157="","",DATE(YEAR(A157),MONTH(A157),1))</f>
        <v/>
      </c>
      <c r="F157" s="19" t="n"/>
    </row>
    <row r="158">
      <c r="A158" s="17" t="n"/>
      <c r="B158" s="19" t="n"/>
      <c r="C158" s="19" t="n"/>
      <c r="D158" s="28" t="n"/>
      <c r="E158" s="5">
        <f>IF(A158="","",DATE(YEAR(A158),MONTH(A158),1))</f>
        <v/>
      </c>
      <c r="F158" s="19" t="n"/>
    </row>
    <row r="159">
      <c r="A159" s="17" t="n"/>
      <c r="B159" s="19" t="n"/>
      <c r="C159" s="19" t="n"/>
      <c r="D159" s="28" t="n"/>
      <c r="E159" s="5">
        <f>IF(A159="","",DATE(YEAR(A159),MONTH(A159),1))</f>
        <v/>
      </c>
      <c r="F159" s="19" t="n"/>
    </row>
    <row r="160">
      <c r="A160" s="17" t="n"/>
      <c r="B160" s="19" t="n"/>
      <c r="C160" s="19" t="n"/>
      <c r="D160" s="28" t="n"/>
      <c r="E160" s="5">
        <f>IF(A160="","",DATE(YEAR(A160),MONTH(A160),1))</f>
        <v/>
      </c>
      <c r="F160" s="19" t="n"/>
    </row>
    <row r="161">
      <c r="A161" s="17" t="n"/>
      <c r="B161" s="19" t="n"/>
      <c r="C161" s="19" t="n"/>
      <c r="D161" s="28" t="n"/>
      <c r="E161" s="5">
        <f>IF(A161="","",DATE(YEAR(A161),MONTH(A161),1))</f>
        <v/>
      </c>
      <c r="F161" s="19" t="n"/>
    </row>
    <row r="162">
      <c r="A162" s="17" t="n"/>
      <c r="B162" s="19" t="n"/>
      <c r="C162" s="19" t="n"/>
      <c r="D162" s="28" t="n"/>
      <c r="E162" s="5">
        <f>IF(A162="","",DATE(YEAR(A162),MONTH(A162),1))</f>
        <v/>
      </c>
      <c r="F162" s="19" t="n"/>
    </row>
    <row r="163">
      <c r="A163" s="17" t="n"/>
      <c r="B163" s="19" t="n"/>
      <c r="C163" s="19" t="n"/>
      <c r="D163" s="28" t="n"/>
      <c r="E163" s="5">
        <f>IF(A163="","",DATE(YEAR(A163),MONTH(A163),1))</f>
        <v/>
      </c>
      <c r="F163" s="19" t="n"/>
    </row>
    <row r="164">
      <c r="A164" s="17" t="n"/>
      <c r="B164" s="19" t="n"/>
      <c r="C164" s="19" t="n"/>
      <c r="D164" s="28" t="n"/>
      <c r="E164" s="5">
        <f>IF(A164="","",DATE(YEAR(A164),MONTH(A164),1))</f>
        <v/>
      </c>
      <c r="F164" s="19" t="n"/>
    </row>
    <row r="165">
      <c r="A165" s="17" t="n"/>
      <c r="B165" s="19" t="n"/>
      <c r="C165" s="19" t="n"/>
      <c r="D165" s="28" t="n"/>
      <c r="E165" s="5">
        <f>IF(A165="","",DATE(YEAR(A165),MONTH(A165),1))</f>
        <v/>
      </c>
      <c r="F165" s="19" t="n"/>
    </row>
    <row r="166">
      <c r="A166" s="17" t="n"/>
      <c r="B166" s="19" t="n"/>
      <c r="C166" s="19" t="n"/>
      <c r="D166" s="28" t="n"/>
      <c r="E166" s="5">
        <f>IF(A166="","",DATE(YEAR(A166),MONTH(A166),1))</f>
        <v/>
      </c>
      <c r="F166" s="19" t="n"/>
    </row>
    <row r="167">
      <c r="A167" s="17" t="n"/>
      <c r="B167" s="19" t="n"/>
      <c r="C167" s="19" t="n"/>
      <c r="D167" s="28" t="n"/>
      <c r="E167" s="5">
        <f>IF(A167="","",DATE(YEAR(A167),MONTH(A167),1))</f>
        <v/>
      </c>
      <c r="F167" s="19" t="n"/>
    </row>
    <row r="168">
      <c r="A168" s="17" t="n"/>
      <c r="B168" s="19" t="n"/>
      <c r="C168" s="19" t="n"/>
      <c r="D168" s="28" t="n"/>
      <c r="E168" s="5">
        <f>IF(A168="","",DATE(YEAR(A168),MONTH(A168),1))</f>
        <v/>
      </c>
      <c r="F168" s="19" t="n"/>
    </row>
    <row r="169">
      <c r="A169" s="17" t="n"/>
      <c r="B169" s="19" t="n"/>
      <c r="C169" s="19" t="n"/>
      <c r="D169" s="28" t="n"/>
      <c r="E169" s="5">
        <f>IF(A169="","",DATE(YEAR(A169),MONTH(A169),1))</f>
        <v/>
      </c>
      <c r="F169" s="19" t="n"/>
    </row>
    <row r="170">
      <c r="A170" s="17" t="n"/>
      <c r="B170" s="19" t="n"/>
      <c r="C170" s="19" t="n"/>
      <c r="D170" s="28" t="n"/>
      <c r="E170" s="5">
        <f>IF(A170="","",DATE(YEAR(A170),MONTH(A170),1))</f>
        <v/>
      </c>
      <c r="F170" s="19" t="n"/>
    </row>
    <row r="171">
      <c r="A171" s="17" t="n"/>
      <c r="B171" s="19" t="n"/>
      <c r="C171" s="19" t="n"/>
      <c r="D171" s="28" t="n"/>
      <c r="E171" s="5">
        <f>IF(A171="","",DATE(YEAR(A171),MONTH(A171),1))</f>
        <v/>
      </c>
      <c r="F171" s="19" t="n"/>
    </row>
    <row r="172">
      <c r="A172" s="17" t="n"/>
      <c r="B172" s="19" t="n"/>
      <c r="C172" s="19" t="n"/>
      <c r="D172" s="28" t="n"/>
      <c r="E172" s="5">
        <f>IF(A172="","",DATE(YEAR(A172),MONTH(A172),1))</f>
        <v/>
      </c>
      <c r="F172" s="19" t="n"/>
    </row>
    <row r="173">
      <c r="A173" s="17" t="n"/>
      <c r="B173" s="19" t="n"/>
      <c r="C173" s="19" t="n"/>
      <c r="D173" s="28" t="n"/>
      <c r="E173" s="5">
        <f>IF(A173="","",DATE(YEAR(A173),MONTH(A173),1))</f>
        <v/>
      </c>
      <c r="F173" s="19" t="n"/>
    </row>
    <row r="174">
      <c r="A174" s="17" t="n"/>
      <c r="B174" s="19" t="n"/>
      <c r="C174" s="19" t="n"/>
      <c r="D174" s="28" t="n"/>
      <c r="E174" s="5">
        <f>IF(A174="","",DATE(YEAR(A174),MONTH(A174),1))</f>
        <v/>
      </c>
      <c r="F174" s="19" t="n"/>
    </row>
    <row r="175">
      <c r="A175" s="17" t="n"/>
      <c r="B175" s="19" t="n"/>
      <c r="C175" s="19" t="n"/>
      <c r="D175" s="28" t="n"/>
      <c r="E175" s="5">
        <f>IF(A175="","",DATE(YEAR(A175),MONTH(A175),1))</f>
        <v/>
      </c>
      <c r="F175" s="19" t="n"/>
    </row>
    <row r="176">
      <c r="A176" s="17" t="n"/>
      <c r="B176" s="19" t="n"/>
      <c r="C176" s="19" t="n"/>
      <c r="D176" s="28" t="n"/>
      <c r="E176" s="5">
        <f>IF(A176="","",DATE(YEAR(A176),MONTH(A176),1))</f>
        <v/>
      </c>
      <c r="F176" s="19" t="n"/>
    </row>
    <row r="177">
      <c r="A177" s="17" t="n"/>
      <c r="B177" s="19" t="n"/>
      <c r="C177" s="19" t="n"/>
      <c r="D177" s="28" t="n"/>
      <c r="E177" s="5">
        <f>IF(A177="","",DATE(YEAR(A177),MONTH(A177),1))</f>
        <v/>
      </c>
      <c r="F177" s="19" t="n"/>
    </row>
    <row r="178">
      <c r="A178" s="17" t="n"/>
      <c r="B178" s="19" t="n"/>
      <c r="C178" s="19" t="n"/>
      <c r="D178" s="28" t="n"/>
      <c r="E178" s="5">
        <f>IF(A178="","",DATE(YEAR(A178),MONTH(A178),1))</f>
        <v/>
      </c>
      <c r="F178" s="19" t="n"/>
    </row>
    <row r="179">
      <c r="A179" s="17" t="n"/>
      <c r="B179" s="19" t="n"/>
      <c r="C179" s="19" t="n"/>
      <c r="D179" s="28" t="n"/>
      <c r="E179" s="5">
        <f>IF(A179="","",DATE(YEAR(A179),MONTH(A179),1))</f>
        <v/>
      </c>
      <c r="F179" s="19" t="n"/>
    </row>
    <row r="180">
      <c r="A180" s="17" t="n"/>
      <c r="B180" s="19" t="n"/>
      <c r="C180" s="19" t="n"/>
      <c r="D180" s="28" t="n"/>
      <c r="E180" s="5">
        <f>IF(A180="","",DATE(YEAR(A180),MONTH(A180),1))</f>
        <v/>
      </c>
      <c r="F180" s="19" t="n"/>
    </row>
    <row r="181">
      <c r="A181" s="17" t="n"/>
      <c r="B181" s="19" t="n"/>
      <c r="C181" s="19" t="n"/>
      <c r="D181" s="28" t="n"/>
      <c r="E181" s="5">
        <f>IF(A181="","",DATE(YEAR(A181),MONTH(A181),1))</f>
        <v/>
      </c>
      <c r="F181" s="19" t="n"/>
    </row>
    <row r="182">
      <c r="A182" s="17" t="n"/>
      <c r="B182" s="19" t="n"/>
      <c r="C182" s="19" t="n"/>
      <c r="D182" s="28" t="n"/>
      <c r="E182" s="5">
        <f>IF(A182="","",DATE(YEAR(A182),MONTH(A182),1))</f>
        <v/>
      </c>
      <c r="F182" s="19" t="n"/>
    </row>
    <row r="183">
      <c r="A183" s="17" t="n"/>
      <c r="B183" s="19" t="n"/>
      <c r="C183" s="19" t="n"/>
      <c r="D183" s="28" t="n"/>
      <c r="E183" s="5">
        <f>IF(A183="","",DATE(YEAR(A183),MONTH(A183),1))</f>
        <v/>
      </c>
      <c r="F183" s="19" t="n"/>
    </row>
    <row r="184">
      <c r="A184" s="17" t="n"/>
      <c r="B184" s="19" t="n"/>
      <c r="C184" s="19" t="n"/>
      <c r="D184" s="28" t="n"/>
      <c r="E184" s="5">
        <f>IF(A184="","",DATE(YEAR(A184),MONTH(A184),1))</f>
        <v/>
      </c>
      <c r="F184" s="19" t="n"/>
    </row>
    <row r="185">
      <c r="A185" s="17" t="n"/>
      <c r="B185" s="19" t="n"/>
      <c r="C185" s="19" t="n"/>
      <c r="D185" s="28" t="n"/>
      <c r="E185" s="5">
        <f>IF(A185="","",DATE(YEAR(A185),MONTH(A185),1))</f>
        <v/>
      </c>
      <c r="F185" s="19" t="n"/>
    </row>
    <row r="186">
      <c r="A186" s="17" t="n"/>
      <c r="B186" s="19" t="n"/>
      <c r="C186" s="19" t="n"/>
      <c r="D186" s="28" t="n"/>
      <c r="E186" s="5">
        <f>IF(A186="","",DATE(YEAR(A186),MONTH(A186),1))</f>
        <v/>
      </c>
      <c r="F186" s="19" t="n"/>
    </row>
    <row r="187">
      <c r="A187" s="17" t="n"/>
      <c r="B187" s="19" t="n"/>
      <c r="C187" s="19" t="n"/>
      <c r="D187" s="28" t="n"/>
      <c r="E187" s="5">
        <f>IF(A187="","",DATE(YEAR(A187),MONTH(A187),1))</f>
        <v/>
      </c>
      <c r="F187" s="19" t="n"/>
    </row>
    <row r="188">
      <c r="A188" s="17" t="n"/>
      <c r="B188" s="19" t="n"/>
      <c r="C188" s="19" t="n"/>
      <c r="D188" s="28" t="n"/>
      <c r="E188" s="5">
        <f>IF(A188="","",DATE(YEAR(A188),MONTH(A188),1))</f>
        <v/>
      </c>
      <c r="F188" s="19" t="n"/>
    </row>
    <row r="189">
      <c r="A189" s="17" t="n"/>
      <c r="B189" s="19" t="n"/>
      <c r="C189" s="19" t="n"/>
      <c r="D189" s="28" t="n"/>
      <c r="E189" s="5">
        <f>IF(A189="","",DATE(YEAR(A189),MONTH(A189),1))</f>
        <v/>
      </c>
      <c r="F189" s="19" t="n"/>
    </row>
    <row r="190">
      <c r="A190" s="17" t="n"/>
      <c r="B190" s="19" t="n"/>
      <c r="C190" s="19" t="n"/>
      <c r="D190" s="28" t="n"/>
      <c r="E190" s="5">
        <f>IF(A190="","",DATE(YEAR(A190),MONTH(A190),1))</f>
        <v/>
      </c>
      <c r="F190" s="19" t="n"/>
    </row>
    <row r="191">
      <c r="A191" s="17" t="n"/>
      <c r="B191" s="19" t="n"/>
      <c r="C191" s="19" t="n"/>
      <c r="D191" s="28" t="n"/>
      <c r="E191" s="5">
        <f>IF(A191="","",DATE(YEAR(A191),MONTH(A191),1))</f>
        <v/>
      </c>
      <c r="F191" s="19" t="n"/>
    </row>
    <row r="192">
      <c r="A192" s="17" t="n"/>
      <c r="B192" s="19" t="n"/>
      <c r="C192" s="19" t="n"/>
      <c r="D192" s="28" t="n"/>
      <c r="E192" s="5">
        <f>IF(A192="","",DATE(YEAR(A192),MONTH(A192),1))</f>
        <v/>
      </c>
      <c r="F192" s="19" t="n"/>
    </row>
    <row r="193">
      <c r="A193" s="17" t="n"/>
      <c r="B193" s="19" t="n"/>
      <c r="C193" s="19" t="n"/>
      <c r="D193" s="28" t="n"/>
      <c r="E193" s="5">
        <f>IF(A193="","",DATE(YEAR(A193),MONTH(A193),1))</f>
        <v/>
      </c>
      <c r="F193" s="19" t="n"/>
    </row>
    <row r="194">
      <c r="A194" s="17" t="n"/>
      <c r="B194" s="19" t="n"/>
      <c r="C194" s="19" t="n"/>
      <c r="D194" s="28" t="n"/>
      <c r="E194" s="5">
        <f>IF(A194="","",DATE(YEAR(A194),MONTH(A194),1))</f>
        <v/>
      </c>
      <c r="F194" s="19" t="n"/>
    </row>
    <row r="195">
      <c r="A195" s="17" t="n"/>
      <c r="B195" s="19" t="n"/>
      <c r="C195" s="19" t="n"/>
      <c r="D195" s="28" t="n"/>
      <c r="E195" s="5">
        <f>IF(A195="","",DATE(YEAR(A195),MONTH(A195),1))</f>
        <v/>
      </c>
      <c r="F195" s="19" t="n"/>
    </row>
    <row r="196">
      <c r="A196" s="17" t="n"/>
      <c r="B196" s="19" t="n"/>
      <c r="C196" s="19" t="n"/>
      <c r="D196" s="28" t="n"/>
      <c r="E196" s="5">
        <f>IF(A196="","",DATE(YEAR(A196),MONTH(A196),1))</f>
        <v/>
      </c>
      <c r="F196" s="19" t="n"/>
    </row>
    <row r="197">
      <c r="A197" s="17" t="n"/>
      <c r="B197" s="19" t="n"/>
      <c r="C197" s="19" t="n"/>
      <c r="D197" s="28" t="n"/>
      <c r="E197" s="5">
        <f>IF(A197="","",DATE(YEAR(A197),MONTH(A197),1))</f>
        <v/>
      </c>
      <c r="F197" s="19" t="n"/>
    </row>
    <row r="198">
      <c r="A198" s="17" t="n"/>
      <c r="B198" s="19" t="n"/>
      <c r="C198" s="19" t="n"/>
      <c r="D198" s="28" t="n"/>
      <c r="E198" s="5">
        <f>IF(A198="","",DATE(YEAR(A198),MONTH(A198),1))</f>
        <v/>
      </c>
      <c r="F198" s="19" t="n"/>
    </row>
    <row r="199">
      <c r="A199" s="17" t="n"/>
      <c r="B199" s="19" t="n"/>
      <c r="C199" s="19" t="n"/>
      <c r="D199" s="28" t="n"/>
      <c r="E199" s="5">
        <f>IF(A199="","",DATE(YEAR(A199),MONTH(A199),1))</f>
        <v/>
      </c>
      <c r="F199" s="19" t="n"/>
    </row>
    <row r="200">
      <c r="A200" s="17" t="n"/>
      <c r="B200" s="19" t="n"/>
      <c r="C200" s="19" t="n"/>
      <c r="D200" s="28" t="n"/>
      <c r="E200" s="5">
        <f>IF(A200="","",DATE(YEAR(A200),MONTH(A200),1))</f>
        <v/>
      </c>
      <c r="F200" s="19" t="n"/>
    </row>
    <row r="201">
      <c r="A201" s="17" t="n"/>
      <c r="B201" s="19" t="n"/>
      <c r="C201" s="19" t="n"/>
      <c r="D201" s="28" t="n"/>
      <c r="E201" s="5">
        <f>IF(A201="","",DATE(YEAR(A201),MONTH(A201),1))</f>
        <v/>
      </c>
      <c r="F201" s="19" t="n"/>
    </row>
    <row r="202">
      <c r="A202" s="17" t="n"/>
      <c r="B202" s="19" t="n"/>
      <c r="C202" s="19" t="n"/>
      <c r="D202" s="28" t="n"/>
      <c r="E202" s="5">
        <f>IF(A202="","",DATE(YEAR(A202),MONTH(A202),1))</f>
        <v/>
      </c>
      <c r="F202" s="19" t="n"/>
    </row>
    <row r="203">
      <c r="A203" s="17" t="n"/>
      <c r="B203" s="19" t="n"/>
      <c r="C203" s="19" t="n"/>
      <c r="D203" s="28" t="n"/>
      <c r="E203" s="5">
        <f>IF(A203="","",DATE(YEAR(A203),MONTH(A203),1))</f>
        <v/>
      </c>
      <c r="F203" s="19" t="n"/>
    </row>
    <row r="204">
      <c r="A204" s="17" t="n"/>
      <c r="B204" s="19" t="n"/>
      <c r="C204" s="19" t="n"/>
      <c r="D204" s="28" t="n"/>
      <c r="E204" s="5">
        <f>IF(A204="","",DATE(YEAR(A204),MONTH(A204),1))</f>
        <v/>
      </c>
      <c r="F204" s="19" t="n"/>
    </row>
    <row r="205">
      <c r="A205" s="17" t="n"/>
      <c r="B205" s="19" t="n"/>
      <c r="C205" s="19" t="n"/>
      <c r="D205" s="28" t="n"/>
      <c r="E205" s="5">
        <f>IF(A205="","",DATE(YEAR(A205),MONTH(A205),1))</f>
        <v/>
      </c>
      <c r="F205" s="19" t="n"/>
    </row>
    <row r="206">
      <c r="A206" s="17" t="n"/>
      <c r="B206" s="19" t="n"/>
      <c r="C206" s="19" t="n"/>
      <c r="D206" s="28" t="n"/>
      <c r="E206" s="5">
        <f>IF(A206="","",DATE(YEAR(A206),MONTH(A206),1))</f>
        <v/>
      </c>
      <c r="F206" s="19" t="n"/>
    </row>
    <row r="207">
      <c r="A207" s="17" t="n"/>
      <c r="B207" s="19" t="n"/>
      <c r="C207" s="19" t="n"/>
      <c r="D207" s="28" t="n"/>
      <c r="E207" s="5">
        <f>IF(A207="","",DATE(YEAR(A207),MONTH(A207),1))</f>
        <v/>
      </c>
      <c r="F207" s="19" t="n"/>
    </row>
    <row r="208">
      <c r="A208" s="17" t="n"/>
      <c r="B208" s="19" t="n"/>
      <c r="C208" s="19" t="n"/>
      <c r="D208" s="28" t="n"/>
      <c r="E208" s="5">
        <f>IF(A208="","",DATE(YEAR(A208),MONTH(A208),1))</f>
        <v/>
      </c>
      <c r="F208" s="19" t="n"/>
    </row>
    <row r="209">
      <c r="A209" s="17" t="n"/>
      <c r="B209" s="19" t="n"/>
      <c r="C209" s="19" t="n"/>
      <c r="D209" s="28" t="n"/>
      <c r="E209" s="5">
        <f>IF(A209="","",DATE(YEAR(A209),MONTH(A209),1))</f>
        <v/>
      </c>
      <c r="F209" s="19" t="n"/>
    </row>
    <row r="210">
      <c r="A210" s="17" t="n"/>
      <c r="B210" s="19" t="n"/>
      <c r="C210" s="19" t="n"/>
      <c r="D210" s="28" t="n"/>
      <c r="E210" s="5">
        <f>IF(A210="","",DATE(YEAR(A210),MONTH(A210),1))</f>
        <v/>
      </c>
      <c r="F210" s="19" t="n"/>
    </row>
    <row r="211">
      <c r="A211" s="17" t="n"/>
      <c r="B211" s="19" t="n"/>
      <c r="C211" s="19" t="n"/>
      <c r="D211" s="28" t="n"/>
      <c r="E211" s="5">
        <f>IF(A211="","",DATE(YEAR(A211),MONTH(A211),1))</f>
        <v/>
      </c>
      <c r="F211" s="19" t="n"/>
    </row>
    <row r="212">
      <c r="A212" s="17" t="n"/>
      <c r="B212" s="19" t="n"/>
      <c r="C212" s="19" t="n"/>
      <c r="D212" s="28" t="n"/>
      <c r="E212" s="5">
        <f>IF(A212="","",DATE(YEAR(A212),MONTH(A212),1))</f>
        <v/>
      </c>
      <c r="F212" s="19" t="n"/>
    </row>
    <row r="213">
      <c r="A213" s="17" t="n"/>
      <c r="B213" s="19" t="n"/>
      <c r="C213" s="19" t="n"/>
      <c r="D213" s="28" t="n"/>
      <c r="E213" s="5">
        <f>IF(A213="","",DATE(YEAR(A213),MONTH(A213),1))</f>
        <v/>
      </c>
      <c r="F213" s="19" t="n"/>
    </row>
    <row r="214">
      <c r="A214" s="17" t="n"/>
      <c r="B214" s="19" t="n"/>
      <c r="C214" s="19" t="n"/>
      <c r="D214" s="28" t="n"/>
      <c r="E214" s="5">
        <f>IF(A214="","",DATE(YEAR(A214),MONTH(A214),1))</f>
        <v/>
      </c>
      <c r="F214" s="19" t="n"/>
    </row>
    <row r="215">
      <c r="A215" s="17" t="n"/>
      <c r="B215" s="19" t="n"/>
      <c r="C215" s="19" t="n"/>
      <c r="D215" s="28" t="n"/>
      <c r="E215" s="5">
        <f>IF(A215="","",DATE(YEAR(A215),MONTH(A215),1))</f>
        <v/>
      </c>
      <c r="F215" s="19" t="n"/>
    </row>
    <row r="216">
      <c r="A216" s="17" t="n"/>
      <c r="B216" s="19" t="n"/>
      <c r="C216" s="19" t="n"/>
      <c r="D216" s="28" t="n"/>
      <c r="E216" s="5">
        <f>IF(A216="","",DATE(YEAR(A216),MONTH(A216),1))</f>
        <v/>
      </c>
      <c r="F216" s="19" t="n"/>
    </row>
    <row r="217">
      <c r="A217" s="17" t="n"/>
      <c r="B217" s="19" t="n"/>
      <c r="C217" s="19" t="n"/>
      <c r="D217" s="28" t="n"/>
      <c r="E217" s="5">
        <f>IF(A217="","",DATE(YEAR(A217),MONTH(A217),1))</f>
        <v/>
      </c>
      <c r="F217" s="19" t="n"/>
    </row>
    <row r="218">
      <c r="A218" s="17" t="n"/>
      <c r="B218" s="19" t="n"/>
      <c r="C218" s="19" t="n"/>
      <c r="D218" s="28" t="n"/>
      <c r="E218" s="5">
        <f>IF(A218="","",DATE(YEAR(A218),MONTH(A218),1))</f>
        <v/>
      </c>
      <c r="F218" s="19" t="n"/>
    </row>
    <row r="219">
      <c r="A219" s="17" t="n"/>
      <c r="B219" s="19" t="n"/>
      <c r="C219" s="19" t="n"/>
      <c r="D219" s="28" t="n"/>
      <c r="E219" s="5">
        <f>IF(A219="","",DATE(YEAR(A219),MONTH(A219),1))</f>
        <v/>
      </c>
      <c r="F219" s="19" t="n"/>
    </row>
    <row r="220">
      <c r="A220" s="17" t="n"/>
      <c r="B220" s="19" t="n"/>
      <c r="C220" s="19" t="n"/>
      <c r="D220" s="28" t="n"/>
      <c r="E220" s="5">
        <f>IF(A220="","",DATE(YEAR(A220),MONTH(A220),1))</f>
        <v/>
      </c>
      <c r="F220" s="19" t="n"/>
    </row>
    <row r="221">
      <c r="A221" s="17" t="n"/>
      <c r="B221" s="19" t="n"/>
      <c r="C221" s="19" t="n"/>
      <c r="D221" s="28" t="n"/>
      <c r="E221" s="5">
        <f>IF(A221="","",DATE(YEAR(A221),MONTH(A221),1))</f>
        <v/>
      </c>
      <c r="F221" s="19" t="n"/>
    </row>
    <row r="222">
      <c r="A222" s="17" t="n"/>
      <c r="B222" s="19" t="n"/>
      <c r="C222" s="19" t="n"/>
      <c r="D222" s="28" t="n"/>
      <c r="E222" s="5">
        <f>IF(A222="","",DATE(YEAR(A222),MONTH(A222),1))</f>
        <v/>
      </c>
      <c r="F222" s="19" t="n"/>
    </row>
    <row r="223">
      <c r="A223" s="17" t="n"/>
      <c r="B223" s="19" t="n"/>
      <c r="C223" s="19" t="n"/>
      <c r="D223" s="28" t="n"/>
      <c r="E223" s="5">
        <f>IF(A223="","",DATE(YEAR(A223),MONTH(A223),1))</f>
        <v/>
      </c>
      <c r="F223" s="19" t="n"/>
    </row>
    <row r="224">
      <c r="A224" s="17" t="n"/>
      <c r="B224" s="19" t="n"/>
      <c r="C224" s="19" t="n"/>
      <c r="D224" s="28" t="n"/>
      <c r="E224" s="5">
        <f>IF(A224="","",DATE(YEAR(A224),MONTH(A224),1))</f>
        <v/>
      </c>
      <c r="F224" s="19" t="n"/>
    </row>
    <row r="225">
      <c r="A225" s="17" t="n"/>
      <c r="B225" s="19" t="n"/>
      <c r="C225" s="19" t="n"/>
      <c r="D225" s="28" t="n"/>
      <c r="E225" s="5">
        <f>IF(A225="","",DATE(YEAR(A225),MONTH(A225),1))</f>
        <v/>
      </c>
      <c r="F225" s="19" t="n"/>
    </row>
    <row r="226">
      <c r="A226" s="17" t="n"/>
      <c r="B226" s="19" t="n"/>
      <c r="C226" s="19" t="n"/>
      <c r="D226" s="28" t="n"/>
      <c r="E226" s="5">
        <f>IF(A226="","",DATE(YEAR(A226),MONTH(A226),1))</f>
        <v/>
      </c>
      <c r="F226" s="19" t="n"/>
    </row>
    <row r="227">
      <c r="A227" s="17" t="n"/>
      <c r="B227" s="19" t="n"/>
      <c r="C227" s="19" t="n"/>
      <c r="D227" s="28" t="n"/>
      <c r="E227" s="5">
        <f>IF(A227="","",DATE(YEAR(A227),MONTH(A227),1))</f>
        <v/>
      </c>
      <c r="F227" s="19" t="n"/>
    </row>
    <row r="228">
      <c r="A228" s="17" t="n"/>
      <c r="B228" s="19" t="n"/>
      <c r="C228" s="19" t="n"/>
      <c r="D228" s="28" t="n"/>
      <c r="E228" s="5">
        <f>IF(A228="","",DATE(YEAR(A228),MONTH(A228),1))</f>
        <v/>
      </c>
      <c r="F228" s="19" t="n"/>
    </row>
    <row r="229">
      <c r="A229" s="17" t="n"/>
      <c r="B229" s="19" t="n"/>
      <c r="C229" s="19" t="n"/>
      <c r="D229" s="28" t="n"/>
      <c r="E229" s="5">
        <f>IF(A229="","",DATE(YEAR(A229),MONTH(A229),1))</f>
        <v/>
      </c>
      <c r="F229" s="19" t="n"/>
    </row>
    <row r="230">
      <c r="A230" s="17" t="n"/>
      <c r="B230" s="19" t="n"/>
      <c r="C230" s="19" t="n"/>
      <c r="D230" s="28" t="n"/>
      <c r="E230" s="5">
        <f>IF(A230="","",DATE(YEAR(A230),MONTH(A230),1))</f>
        <v/>
      </c>
      <c r="F230" s="19" t="n"/>
    </row>
    <row r="231">
      <c r="A231" s="17" t="n"/>
      <c r="B231" s="19" t="n"/>
      <c r="C231" s="19" t="n"/>
      <c r="D231" s="28" t="n"/>
      <c r="E231" s="5">
        <f>IF(A231="","",DATE(YEAR(A231),MONTH(A231),1))</f>
        <v/>
      </c>
      <c r="F231" s="19" t="n"/>
    </row>
    <row r="232">
      <c r="A232" s="17" t="n"/>
      <c r="B232" s="19" t="n"/>
      <c r="C232" s="19" t="n"/>
      <c r="D232" s="28" t="n"/>
      <c r="E232" s="5">
        <f>IF(A232="","",DATE(YEAR(A232),MONTH(A232),1))</f>
        <v/>
      </c>
      <c r="F232" s="19" t="n"/>
    </row>
    <row r="233">
      <c r="A233" s="17" t="n"/>
      <c r="B233" s="19" t="n"/>
      <c r="C233" s="19" t="n"/>
      <c r="D233" s="28" t="n"/>
      <c r="E233" s="5">
        <f>IF(A233="","",DATE(YEAR(A233),MONTH(A233),1))</f>
        <v/>
      </c>
      <c r="F233" s="19" t="n"/>
    </row>
    <row r="234">
      <c r="A234" s="17" t="n"/>
      <c r="B234" s="19" t="n"/>
      <c r="C234" s="19" t="n"/>
      <c r="D234" s="28" t="n"/>
      <c r="E234" s="5">
        <f>IF(A234="","",DATE(YEAR(A234),MONTH(A234),1))</f>
        <v/>
      </c>
      <c r="F234" s="19" t="n"/>
    </row>
    <row r="235">
      <c r="A235" s="17" t="n"/>
      <c r="B235" s="19" t="n"/>
      <c r="C235" s="19" t="n"/>
      <c r="D235" s="28" t="n"/>
      <c r="E235" s="5">
        <f>IF(A235="","",DATE(YEAR(A235),MONTH(A235),1))</f>
        <v/>
      </c>
      <c r="F235" s="19" t="n"/>
    </row>
    <row r="236">
      <c r="A236" s="17" t="n"/>
      <c r="B236" s="19" t="n"/>
      <c r="C236" s="19" t="n"/>
      <c r="D236" s="28" t="n"/>
      <c r="E236" s="5">
        <f>IF(A236="","",DATE(YEAR(A236),MONTH(A236),1))</f>
        <v/>
      </c>
      <c r="F236" s="19" t="n"/>
    </row>
    <row r="237">
      <c r="A237" s="17" t="n"/>
      <c r="B237" s="19" t="n"/>
      <c r="C237" s="19" t="n"/>
      <c r="D237" s="28" t="n"/>
      <c r="E237" s="5">
        <f>IF(A237="","",DATE(YEAR(A237),MONTH(A237),1))</f>
        <v/>
      </c>
      <c r="F237" s="19" t="n"/>
    </row>
    <row r="238">
      <c r="A238" s="17" t="n"/>
      <c r="B238" s="19" t="n"/>
      <c r="C238" s="19" t="n"/>
      <c r="D238" s="28" t="n"/>
      <c r="E238" s="5">
        <f>IF(A238="","",DATE(YEAR(A238),MONTH(A238),1))</f>
        <v/>
      </c>
      <c r="F238" s="19" t="n"/>
    </row>
    <row r="239">
      <c r="A239" s="17" t="n"/>
      <c r="B239" s="19" t="n"/>
      <c r="C239" s="19" t="n"/>
      <c r="D239" s="28" t="n"/>
      <c r="E239" s="5">
        <f>IF(A239="","",DATE(YEAR(A239),MONTH(A239),1))</f>
        <v/>
      </c>
      <c r="F239" s="19" t="n"/>
    </row>
    <row r="240">
      <c r="A240" s="17" t="n"/>
      <c r="B240" s="19" t="n"/>
      <c r="C240" s="19" t="n"/>
      <c r="D240" s="28" t="n"/>
      <c r="E240" s="5">
        <f>IF(A240="","",DATE(YEAR(A240),MONTH(A240),1))</f>
        <v/>
      </c>
      <c r="F240" s="19" t="n"/>
    </row>
    <row r="241">
      <c r="A241" s="17" t="n"/>
      <c r="B241" s="19" t="n"/>
      <c r="C241" s="19" t="n"/>
      <c r="D241" s="28" t="n"/>
      <c r="E241" s="5">
        <f>IF(A241="","",DATE(YEAR(A241),MONTH(A241),1))</f>
        <v/>
      </c>
      <c r="F241" s="19" t="n"/>
    </row>
    <row r="242">
      <c r="A242" s="17" t="n"/>
      <c r="B242" s="19" t="n"/>
      <c r="C242" s="19" t="n"/>
      <c r="D242" s="28" t="n"/>
      <c r="E242" s="5">
        <f>IF(A242="","",DATE(YEAR(A242),MONTH(A242),1))</f>
        <v/>
      </c>
      <c r="F242" s="19" t="n"/>
    </row>
    <row r="243">
      <c r="A243" s="17" t="n"/>
      <c r="B243" s="19" t="n"/>
      <c r="C243" s="19" t="n"/>
      <c r="D243" s="28" t="n"/>
      <c r="E243" s="5">
        <f>IF(A243="","",DATE(YEAR(A243),MONTH(A243),1))</f>
        <v/>
      </c>
      <c r="F243" s="19" t="n"/>
    </row>
    <row r="244">
      <c r="A244" s="17" t="n"/>
      <c r="B244" s="19" t="n"/>
      <c r="C244" s="19" t="n"/>
      <c r="D244" s="28" t="n"/>
      <c r="E244" s="5">
        <f>IF(A244="","",DATE(YEAR(A244),MONTH(A244),1))</f>
        <v/>
      </c>
      <c r="F244" s="19" t="n"/>
    </row>
    <row r="245">
      <c r="A245" s="17" t="n"/>
      <c r="B245" s="19" t="n"/>
      <c r="C245" s="19" t="n"/>
      <c r="D245" s="28" t="n"/>
      <c r="E245" s="5">
        <f>IF(A245="","",DATE(YEAR(A245),MONTH(A245),1))</f>
        <v/>
      </c>
      <c r="F245" s="19" t="n"/>
    </row>
    <row r="246">
      <c r="A246" s="17" t="n"/>
      <c r="B246" s="19" t="n"/>
      <c r="C246" s="19" t="n"/>
      <c r="D246" s="28" t="n"/>
      <c r="E246" s="5">
        <f>IF(A246="","",DATE(YEAR(A246),MONTH(A246),1))</f>
        <v/>
      </c>
      <c r="F246" s="19" t="n"/>
    </row>
    <row r="247">
      <c r="A247" s="17" t="n"/>
      <c r="B247" s="19" t="n"/>
      <c r="C247" s="19" t="n"/>
      <c r="D247" s="28" t="n"/>
      <c r="E247" s="5">
        <f>IF(A247="","",DATE(YEAR(A247),MONTH(A247),1))</f>
        <v/>
      </c>
      <c r="F247" s="19" t="n"/>
    </row>
    <row r="248">
      <c r="A248" s="17" t="n"/>
      <c r="B248" s="19" t="n"/>
      <c r="C248" s="19" t="n"/>
      <c r="D248" s="28" t="n"/>
      <c r="E248" s="5">
        <f>IF(A248="","",DATE(YEAR(A248),MONTH(A248),1))</f>
        <v/>
      </c>
      <c r="F248" s="19" t="n"/>
    </row>
    <row r="249">
      <c r="A249" s="17" t="n"/>
      <c r="B249" s="19" t="n"/>
      <c r="C249" s="19" t="n"/>
      <c r="D249" s="28" t="n"/>
      <c r="E249" s="5">
        <f>IF(A249="","",DATE(YEAR(A249),MONTH(A249),1))</f>
        <v/>
      </c>
      <c r="F249" s="19" t="n"/>
    </row>
    <row r="250">
      <c r="A250" s="17" t="n"/>
      <c r="B250" s="19" t="n"/>
      <c r="C250" s="19" t="n"/>
      <c r="D250" s="28" t="n"/>
      <c r="E250" s="5">
        <f>IF(A250="","",DATE(YEAR(A250),MONTH(A250),1))</f>
        <v/>
      </c>
      <c r="F250" s="19" t="n"/>
    </row>
    <row r="251">
      <c r="A251" s="17" t="n"/>
      <c r="B251" s="19" t="n"/>
      <c r="C251" s="19" t="n"/>
      <c r="D251" s="28" t="n"/>
      <c r="E251" s="5">
        <f>IF(A251="","",DATE(YEAR(A251),MONTH(A251),1))</f>
        <v/>
      </c>
      <c r="F251" s="19" t="n"/>
    </row>
    <row r="252">
      <c r="A252" s="17" t="n"/>
      <c r="B252" s="19" t="n"/>
      <c r="C252" s="19" t="n"/>
      <c r="D252" s="28" t="n"/>
      <c r="E252" s="5">
        <f>IF(A252="","",DATE(YEAR(A252),MONTH(A252),1))</f>
        <v/>
      </c>
      <c r="F252" s="19" t="n"/>
    </row>
    <row r="253">
      <c r="A253" s="17" t="n"/>
      <c r="B253" s="19" t="n"/>
      <c r="C253" s="19" t="n"/>
      <c r="D253" s="28" t="n"/>
      <c r="E253" s="5">
        <f>IF(A253="","",DATE(YEAR(A253),MONTH(A253),1))</f>
        <v/>
      </c>
      <c r="F253" s="19" t="n"/>
    </row>
    <row r="254">
      <c r="A254" s="17" t="n"/>
      <c r="B254" s="19" t="n"/>
      <c r="C254" s="19" t="n"/>
      <c r="D254" s="28" t="n"/>
      <c r="E254" s="5">
        <f>IF(A254="","",DATE(YEAR(A254),MONTH(A254),1))</f>
        <v/>
      </c>
      <c r="F254" s="19" t="n"/>
    </row>
    <row r="255">
      <c r="A255" s="17" t="n"/>
      <c r="B255" s="19" t="n"/>
      <c r="C255" s="19" t="n"/>
      <c r="D255" s="28" t="n"/>
      <c r="E255" s="5">
        <f>IF(A255="","",DATE(YEAR(A255),MONTH(A255),1))</f>
        <v/>
      </c>
      <c r="F255" s="19" t="n"/>
    </row>
    <row r="256">
      <c r="A256" s="17" t="n"/>
      <c r="B256" s="19" t="n"/>
      <c r="C256" s="19" t="n"/>
      <c r="D256" s="28" t="n"/>
      <c r="E256" s="5">
        <f>IF(A256="","",DATE(YEAR(A256),MONTH(A256),1))</f>
        <v/>
      </c>
      <c r="F256" s="19" t="n"/>
    </row>
    <row r="257">
      <c r="A257" s="17" t="n"/>
      <c r="B257" s="19" t="n"/>
      <c r="C257" s="19" t="n"/>
      <c r="D257" s="28" t="n"/>
      <c r="E257" s="5">
        <f>IF(A257="","",DATE(YEAR(A257),MONTH(A257),1))</f>
        <v/>
      </c>
      <c r="F257" s="19" t="n"/>
    </row>
    <row r="258">
      <c r="A258" s="17" t="n"/>
      <c r="B258" s="19" t="n"/>
      <c r="C258" s="19" t="n"/>
      <c r="D258" s="28" t="n"/>
      <c r="E258" s="5">
        <f>IF(A258="","",DATE(YEAR(A258),MONTH(A258),1))</f>
        <v/>
      </c>
      <c r="F258" s="19" t="n"/>
    </row>
    <row r="259">
      <c r="A259" s="17" t="n"/>
      <c r="B259" s="19" t="n"/>
      <c r="C259" s="19" t="n"/>
      <c r="D259" s="28" t="n"/>
      <c r="E259" s="5">
        <f>IF(A259="","",DATE(YEAR(A259),MONTH(A259),1))</f>
        <v/>
      </c>
      <c r="F259" s="19" t="n"/>
    </row>
    <row r="260">
      <c r="A260" s="17" t="n"/>
      <c r="B260" s="19" t="n"/>
      <c r="C260" s="19" t="n"/>
      <c r="D260" s="28" t="n"/>
      <c r="E260" s="5">
        <f>IF(A260="","",DATE(YEAR(A260),MONTH(A260),1))</f>
        <v/>
      </c>
      <c r="F260" s="19" t="n"/>
    </row>
    <row r="261">
      <c r="A261" s="17" t="n"/>
      <c r="B261" s="19" t="n"/>
      <c r="C261" s="19" t="n"/>
      <c r="D261" s="28" t="n"/>
      <c r="E261" s="5">
        <f>IF(A261="","",DATE(YEAR(A261),MONTH(A261),1))</f>
        <v/>
      </c>
      <c r="F261" s="19" t="n"/>
    </row>
    <row r="262">
      <c r="A262" s="17" t="n"/>
      <c r="B262" s="19" t="n"/>
      <c r="C262" s="19" t="n"/>
      <c r="D262" s="28" t="n"/>
      <c r="E262" s="5">
        <f>IF(A262="","",DATE(YEAR(A262),MONTH(A262),1))</f>
        <v/>
      </c>
      <c r="F262" s="19" t="n"/>
    </row>
    <row r="263">
      <c r="A263" s="17" t="n"/>
      <c r="B263" s="19" t="n"/>
      <c r="C263" s="19" t="n"/>
      <c r="D263" s="28" t="n"/>
      <c r="E263" s="5">
        <f>IF(A263="","",DATE(YEAR(A263),MONTH(A263),1))</f>
        <v/>
      </c>
      <c r="F263" s="19" t="n"/>
    </row>
    <row r="264">
      <c r="A264" s="17" t="n"/>
      <c r="B264" s="19" t="n"/>
      <c r="C264" s="19" t="n"/>
      <c r="D264" s="28" t="n"/>
      <c r="E264" s="5">
        <f>IF(A264="","",DATE(YEAR(A264),MONTH(A264),1))</f>
        <v/>
      </c>
      <c r="F264" s="19" t="n"/>
    </row>
    <row r="265">
      <c r="A265" s="17" t="n"/>
      <c r="B265" s="19" t="n"/>
      <c r="C265" s="19" t="n"/>
      <c r="D265" s="28" t="n"/>
      <c r="E265" s="5">
        <f>IF(A265="","",DATE(YEAR(A265),MONTH(A265),1))</f>
        <v/>
      </c>
      <c r="F265" s="19" t="n"/>
    </row>
    <row r="266">
      <c r="A266" s="17" t="n"/>
      <c r="B266" s="19" t="n"/>
      <c r="C266" s="19" t="n"/>
      <c r="D266" s="28" t="n"/>
      <c r="E266" s="5">
        <f>IF(A266="","",DATE(YEAR(A266),MONTH(A266),1))</f>
        <v/>
      </c>
      <c r="F266" s="19" t="n"/>
    </row>
    <row r="267">
      <c r="A267" s="17" t="n"/>
      <c r="B267" s="19" t="n"/>
      <c r="C267" s="19" t="n"/>
      <c r="D267" s="28" t="n"/>
      <c r="E267" s="5">
        <f>IF(A267="","",DATE(YEAR(A267),MONTH(A267),1))</f>
        <v/>
      </c>
      <c r="F267" s="19" t="n"/>
    </row>
    <row r="268">
      <c r="A268" s="17" t="n"/>
      <c r="B268" s="19" t="n"/>
      <c r="C268" s="19" t="n"/>
      <c r="D268" s="28" t="n"/>
      <c r="E268" s="5">
        <f>IF(A268="","",DATE(YEAR(A268),MONTH(A268),1))</f>
        <v/>
      </c>
      <c r="F268" s="19" t="n"/>
    </row>
    <row r="269">
      <c r="A269" s="17" t="n"/>
      <c r="B269" s="19" t="n"/>
      <c r="C269" s="19" t="n"/>
      <c r="D269" s="28" t="n"/>
      <c r="E269" s="5">
        <f>IF(A269="","",DATE(YEAR(A269),MONTH(A269),1))</f>
        <v/>
      </c>
      <c r="F269" s="19" t="n"/>
    </row>
    <row r="270">
      <c r="A270" s="17" t="n"/>
      <c r="B270" s="19" t="n"/>
      <c r="C270" s="19" t="n"/>
      <c r="D270" s="28" t="n"/>
      <c r="E270" s="5">
        <f>IF(A270="","",DATE(YEAR(A270),MONTH(A270),1))</f>
        <v/>
      </c>
      <c r="F270" s="19" t="n"/>
    </row>
    <row r="271">
      <c r="A271" s="17" t="n"/>
      <c r="B271" s="19" t="n"/>
      <c r="C271" s="19" t="n"/>
      <c r="D271" s="28" t="n"/>
      <c r="E271" s="5">
        <f>IF(A271="","",DATE(YEAR(A271),MONTH(A271),1))</f>
        <v/>
      </c>
      <c r="F271" s="19" t="n"/>
    </row>
    <row r="272">
      <c r="A272" s="17" t="n"/>
      <c r="B272" s="19" t="n"/>
      <c r="C272" s="19" t="n"/>
      <c r="D272" s="28" t="n"/>
      <c r="E272" s="5">
        <f>IF(A272="","",DATE(YEAR(A272),MONTH(A272),1))</f>
        <v/>
      </c>
      <c r="F272" s="19" t="n"/>
    </row>
    <row r="273">
      <c r="A273" s="17" t="n"/>
      <c r="B273" s="19" t="n"/>
      <c r="C273" s="19" t="n"/>
      <c r="D273" s="28" t="n"/>
      <c r="E273" s="5">
        <f>IF(A273="","",DATE(YEAR(A273),MONTH(A273),1))</f>
        <v/>
      </c>
      <c r="F273" s="19" t="n"/>
    </row>
    <row r="274">
      <c r="A274" s="17" t="n"/>
      <c r="B274" s="19" t="n"/>
      <c r="C274" s="19" t="n"/>
      <c r="D274" s="28" t="n"/>
      <c r="E274" s="5">
        <f>IF(A274="","",DATE(YEAR(A274),MONTH(A274),1))</f>
        <v/>
      </c>
      <c r="F274" s="19" t="n"/>
    </row>
    <row r="275">
      <c r="A275" s="17" t="n"/>
      <c r="B275" s="19" t="n"/>
      <c r="C275" s="19" t="n"/>
      <c r="D275" s="28" t="n"/>
      <c r="E275" s="5">
        <f>IF(A275="","",DATE(YEAR(A275),MONTH(A275),1))</f>
        <v/>
      </c>
      <c r="F275" s="19" t="n"/>
    </row>
    <row r="276">
      <c r="A276" s="17" t="n"/>
      <c r="B276" s="19" t="n"/>
      <c r="C276" s="19" t="n"/>
      <c r="D276" s="28" t="n"/>
      <c r="E276" s="5">
        <f>IF(A276="","",DATE(YEAR(A276),MONTH(A276),1))</f>
        <v/>
      </c>
      <c r="F276" s="19" t="n"/>
    </row>
    <row r="277">
      <c r="A277" s="17" t="n"/>
      <c r="B277" s="19" t="n"/>
      <c r="C277" s="19" t="n"/>
      <c r="D277" s="28" t="n"/>
      <c r="E277" s="5">
        <f>IF(A277="","",DATE(YEAR(A277),MONTH(A277),1))</f>
        <v/>
      </c>
      <c r="F277" s="19" t="n"/>
    </row>
    <row r="278">
      <c r="A278" s="17" t="n"/>
      <c r="B278" s="19" t="n"/>
      <c r="C278" s="19" t="n"/>
      <c r="D278" s="28" t="n"/>
      <c r="E278" s="5">
        <f>IF(A278="","",DATE(YEAR(A278),MONTH(A278),1))</f>
        <v/>
      </c>
      <c r="F278" s="19" t="n"/>
    </row>
    <row r="279">
      <c r="A279" s="17" t="n"/>
      <c r="B279" s="19" t="n"/>
      <c r="C279" s="19" t="n"/>
      <c r="D279" s="28" t="n"/>
      <c r="E279" s="5">
        <f>IF(A279="","",DATE(YEAR(A279),MONTH(A279),1))</f>
        <v/>
      </c>
      <c r="F279" s="19" t="n"/>
    </row>
    <row r="280">
      <c r="A280" s="17" t="n"/>
      <c r="B280" s="19" t="n"/>
      <c r="C280" s="19" t="n"/>
      <c r="D280" s="28" t="n"/>
      <c r="E280" s="5">
        <f>IF(A280="","",DATE(YEAR(A280),MONTH(A280),1))</f>
        <v/>
      </c>
      <c r="F280" s="19" t="n"/>
    </row>
    <row r="281">
      <c r="A281" s="17" t="n"/>
      <c r="B281" s="19" t="n"/>
      <c r="C281" s="19" t="n"/>
      <c r="D281" s="28" t="n"/>
      <c r="E281" s="5">
        <f>IF(A281="","",DATE(YEAR(A281),MONTH(A281),1))</f>
        <v/>
      </c>
      <c r="F281" s="19" t="n"/>
    </row>
    <row r="282">
      <c r="A282" s="17" t="n"/>
      <c r="B282" s="19" t="n"/>
      <c r="C282" s="19" t="n"/>
      <c r="D282" s="28" t="n"/>
      <c r="E282" s="5">
        <f>IF(A282="","",DATE(YEAR(A282),MONTH(A282),1))</f>
        <v/>
      </c>
      <c r="F282" s="19" t="n"/>
    </row>
    <row r="283">
      <c r="A283" s="17" t="n"/>
      <c r="B283" s="19" t="n"/>
      <c r="C283" s="19" t="n"/>
      <c r="D283" s="28" t="n"/>
      <c r="E283" s="5">
        <f>IF(A283="","",DATE(YEAR(A283),MONTH(A283),1))</f>
        <v/>
      </c>
      <c r="F283" s="19" t="n"/>
    </row>
    <row r="284">
      <c r="A284" s="17" t="n"/>
      <c r="B284" s="19" t="n"/>
      <c r="C284" s="19" t="n"/>
      <c r="D284" s="28" t="n"/>
      <c r="E284" s="5">
        <f>IF(A284="","",DATE(YEAR(A284),MONTH(A284),1))</f>
        <v/>
      </c>
      <c r="F284" s="19" t="n"/>
    </row>
    <row r="285">
      <c r="A285" s="17" t="n"/>
      <c r="B285" s="19" t="n"/>
      <c r="C285" s="19" t="n"/>
      <c r="D285" s="28" t="n"/>
      <c r="E285" s="5">
        <f>IF(A285="","",DATE(YEAR(A285),MONTH(A285),1))</f>
        <v/>
      </c>
      <c r="F285" s="19" t="n"/>
    </row>
    <row r="286">
      <c r="A286" s="17" t="n"/>
      <c r="B286" s="19" t="n"/>
      <c r="C286" s="19" t="n"/>
      <c r="D286" s="28" t="n"/>
      <c r="E286" s="5">
        <f>IF(A286="","",DATE(YEAR(A286),MONTH(A286),1))</f>
        <v/>
      </c>
      <c r="F286" s="19" t="n"/>
    </row>
    <row r="287">
      <c r="A287" s="17" t="n"/>
      <c r="B287" s="19" t="n"/>
      <c r="C287" s="19" t="n"/>
      <c r="D287" s="28" t="n"/>
      <c r="E287" s="5">
        <f>IF(A287="","",DATE(YEAR(A287),MONTH(A287),1))</f>
        <v/>
      </c>
      <c r="F287" s="19" t="n"/>
    </row>
    <row r="288">
      <c r="A288" s="17" t="n"/>
      <c r="B288" s="19" t="n"/>
      <c r="C288" s="19" t="n"/>
      <c r="D288" s="28" t="n"/>
      <c r="E288" s="5">
        <f>IF(A288="","",DATE(YEAR(A288),MONTH(A288),1))</f>
        <v/>
      </c>
      <c r="F288" s="19" t="n"/>
    </row>
    <row r="289">
      <c r="A289" s="17" t="n"/>
      <c r="B289" s="19" t="n"/>
      <c r="C289" s="19" t="n"/>
      <c r="D289" s="28" t="n"/>
      <c r="E289" s="5">
        <f>IF(A289="","",DATE(YEAR(A289),MONTH(A289),1))</f>
        <v/>
      </c>
      <c r="F289" s="19" t="n"/>
    </row>
    <row r="290">
      <c r="A290" s="17" t="n"/>
      <c r="B290" s="19" t="n"/>
      <c r="C290" s="19" t="n"/>
      <c r="D290" s="28" t="n"/>
      <c r="E290" s="5">
        <f>IF(A290="","",DATE(YEAR(A290),MONTH(A290),1))</f>
        <v/>
      </c>
      <c r="F290" s="19" t="n"/>
    </row>
    <row r="291">
      <c r="A291" s="17" t="n"/>
      <c r="B291" s="19" t="n"/>
      <c r="C291" s="19" t="n"/>
      <c r="D291" s="28" t="n"/>
      <c r="E291" s="5">
        <f>IF(A291="","",DATE(YEAR(A291),MONTH(A291),1))</f>
        <v/>
      </c>
      <c r="F291" s="19" t="n"/>
    </row>
    <row r="292">
      <c r="A292" s="17" t="n"/>
      <c r="B292" s="19" t="n"/>
      <c r="C292" s="19" t="n"/>
      <c r="D292" s="28" t="n"/>
      <c r="E292" s="5">
        <f>IF(A292="","",DATE(YEAR(A292),MONTH(A292),1))</f>
        <v/>
      </c>
      <c r="F292" s="19" t="n"/>
    </row>
    <row r="293">
      <c r="A293" s="17" t="n"/>
      <c r="B293" s="19" t="n"/>
      <c r="C293" s="19" t="n"/>
      <c r="D293" s="28" t="n"/>
      <c r="E293" s="5">
        <f>IF(A293="","",DATE(YEAR(A293),MONTH(A293),1))</f>
        <v/>
      </c>
      <c r="F293" s="19" t="n"/>
    </row>
    <row r="294">
      <c r="A294" s="17" t="n"/>
      <c r="B294" s="19" t="n"/>
      <c r="C294" s="19" t="n"/>
      <c r="D294" s="28" t="n"/>
      <c r="E294" s="5">
        <f>IF(A294="","",DATE(YEAR(A294),MONTH(A294),1))</f>
        <v/>
      </c>
      <c r="F294" s="19" t="n"/>
    </row>
    <row r="295">
      <c r="A295" s="17" t="n"/>
      <c r="B295" s="19" t="n"/>
      <c r="C295" s="19" t="n"/>
      <c r="D295" s="28" t="n"/>
      <c r="E295" s="5">
        <f>IF(A295="","",DATE(YEAR(A295),MONTH(A295),1))</f>
        <v/>
      </c>
      <c r="F295" s="19" t="n"/>
    </row>
    <row r="296">
      <c r="A296" s="17" t="n"/>
      <c r="B296" s="19" t="n"/>
      <c r="C296" s="19" t="n"/>
      <c r="D296" s="28" t="n"/>
      <c r="E296" s="5">
        <f>IF(A296="","",DATE(YEAR(A296),MONTH(A296),1))</f>
        <v/>
      </c>
      <c r="F296" s="19" t="n"/>
    </row>
    <row r="297">
      <c r="A297" s="17" t="n"/>
      <c r="B297" s="19" t="n"/>
      <c r="C297" s="19" t="n"/>
      <c r="D297" s="28" t="n"/>
      <c r="E297" s="5">
        <f>IF(A297="","",DATE(YEAR(A297),MONTH(A297),1))</f>
        <v/>
      </c>
      <c r="F297" s="19" t="n"/>
    </row>
    <row r="298">
      <c r="A298" s="17" t="n"/>
      <c r="B298" s="19" t="n"/>
      <c r="C298" s="19" t="n"/>
      <c r="D298" s="28" t="n"/>
      <c r="E298" s="5">
        <f>IF(A298="","",DATE(YEAR(A298),MONTH(A298),1))</f>
        <v/>
      </c>
      <c r="F298" s="19" t="n"/>
    </row>
    <row r="299">
      <c r="A299" s="17" t="n"/>
      <c r="B299" s="19" t="n"/>
      <c r="C299" s="19" t="n"/>
      <c r="D299" s="28" t="n"/>
      <c r="E299" s="5">
        <f>IF(A299="","",DATE(YEAR(A299),MONTH(A299),1))</f>
        <v/>
      </c>
      <c r="F299" s="19" t="n"/>
    </row>
    <row r="300">
      <c r="A300" s="17" t="n"/>
      <c r="B300" s="19" t="n"/>
      <c r="C300" s="19" t="n"/>
      <c r="D300" s="28" t="n"/>
      <c r="E300" s="5">
        <f>IF(A300="","",DATE(YEAR(A300),MONTH(A300),1))</f>
        <v/>
      </c>
      <c r="F300" s="19" t="n"/>
    </row>
    <row r="301">
      <c r="A301" s="17" t="n"/>
      <c r="B301" s="19" t="n"/>
      <c r="C301" s="19" t="n"/>
      <c r="D301" s="28" t="n"/>
      <c r="E301" s="5">
        <f>IF(A301="","",DATE(YEAR(A301),MONTH(A301),1))</f>
        <v/>
      </c>
      <c r="F301" s="19" t="n"/>
    </row>
  </sheetData>
  <autoFilter ref="A1:F301"/>
  <dataValidations count="2">
    <dataValidation sqref="C2:C301" showDropDown="0" showInputMessage="0" showErrorMessage="0" allowBlank="1" type="list">
      <formula1>=Parametros!$J$2:$J$8</formula1>
    </dataValidation>
    <dataValidation sqref="B2:B301" showDropDown="0" showInputMessage="0" showErrorMessage="0" allowBlank="1" type="list">
      <formula1>=Clientes!$A$2:$A$301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9" customWidth="1" min="9" max="9"/>
    <col width="12" customWidth="1" min="10" max="10"/>
  </cols>
  <sheetData>
    <row r="1" ht="32" customHeight="1">
      <c r="A1" s="23" t="inlineStr">
        <is>
          <t>N.º factura</t>
        </is>
      </c>
      <c r="B1" s="23" t="inlineStr">
        <is>
          <t>Cliente</t>
        </is>
      </c>
      <c r="C1" s="23" t="inlineStr">
        <is>
          <t>Fecha emisión</t>
        </is>
      </c>
      <c r="D1" s="23" t="inlineStr">
        <is>
          <t>Fecha límite pago</t>
        </is>
      </c>
      <c r="E1" s="23" t="inlineStr">
        <is>
          <t>Valor</t>
        </is>
      </c>
      <c r="F1" s="23" t="inlineStr">
        <is>
          <t>Pagado</t>
        </is>
      </c>
      <c r="G1" s="23" t="inlineStr">
        <is>
          <t>Fecha pago</t>
        </is>
      </c>
      <c r="H1" s="23" t="inlineStr">
        <is>
          <t>Saldo</t>
        </is>
      </c>
      <c r="I1" s="23" t="inlineStr">
        <is>
          <t>Días de mora</t>
        </is>
      </c>
      <c r="J1" s="23" t="inlineStr">
        <is>
          <t>Estado</t>
        </is>
      </c>
    </row>
    <row r="2">
      <c r="A2" s="19" t="inlineStr">
        <is>
          <t>FE-001</t>
        </is>
      </c>
      <c r="B2" s="19" t="inlineStr">
        <is>
          <t>Restaurante La Ribera</t>
        </is>
      </c>
      <c r="C2" s="17" t="n">
        <v>46296</v>
      </c>
      <c r="D2" s="18">
        <f>IF(C2="","",C2+4)</f>
        <v/>
      </c>
      <c r="E2" s="20" t="n">
        <v>750000</v>
      </c>
      <c r="F2" s="20" t="n">
        <v>750000</v>
      </c>
      <c r="G2" s="17" t="n">
        <v>46298</v>
      </c>
      <c r="H2" s="24">
        <f>IF(E2="","",E2-N(F2))</f>
        <v/>
      </c>
      <c r="I2">
        <f>IF(OR(H2="",N(H2)&lt;=0),0,MAX(0,Parametros!$B$2-D2))</f>
        <v/>
      </c>
      <c r="J2">
        <f>IF(E2="","",IF(H2&lt;=0,"Pagada",IF(I2=0,"Al día",IF(I2&lt;=15,"1-15",IF(I2&lt;=30,"16-30","Más de 30")))))</f>
        <v/>
      </c>
    </row>
    <row r="3">
      <c r="A3" s="19" t="inlineStr">
        <is>
          <t>FE-002</t>
        </is>
      </c>
      <c r="B3" s="19" t="inlineStr">
        <is>
          <t>Comercializadora Sinú SAS</t>
        </is>
      </c>
      <c r="C3" s="17" t="n">
        <v>46296</v>
      </c>
      <c r="D3" s="18">
        <f>IF(C3="","",C3+4)</f>
        <v/>
      </c>
      <c r="E3" s="20" t="n">
        <v>1100000</v>
      </c>
      <c r="F3" s="20" t="n">
        <v>1100000</v>
      </c>
      <c r="G3" s="17" t="n">
        <v>46297</v>
      </c>
      <c r="H3" s="24">
        <f>IF(E3="","",E3-N(F3))</f>
        <v/>
      </c>
      <c r="I3">
        <f>IF(OR(H3="",N(H3)&lt;=0),0,MAX(0,Parametros!$B$2-D3))</f>
        <v/>
      </c>
      <c r="J3">
        <f>IF(E3="","",IF(H3&lt;=0,"Pagada",IF(I3=0,"Al día",IF(I3&lt;=15,"1-15",IF(I3&lt;=30,"16-30","Más de 30")))))</f>
        <v/>
      </c>
    </row>
    <row r="4">
      <c r="A4" s="19" t="inlineStr">
        <is>
          <t>FE-003</t>
        </is>
      </c>
      <c r="B4" s="19" t="inlineStr">
        <is>
          <t>Juan Pérez (independiente)</t>
        </is>
      </c>
      <c r="C4" s="17" t="n">
        <v>46296</v>
      </c>
      <c r="D4" s="18">
        <f>IF(C4="","",C4+4)</f>
        <v/>
      </c>
      <c r="E4" s="20" t="n">
        <v>450000</v>
      </c>
      <c r="F4" s="20" t="n"/>
      <c r="G4" s="17" t="n"/>
      <c r="H4" s="24">
        <f>IF(E4="","",E4-N(F4))</f>
        <v/>
      </c>
      <c r="I4">
        <f>IF(OR(H4="",N(H4)&lt;=0),0,MAX(0,Parametros!$B$2-D4))</f>
        <v/>
      </c>
      <c r="J4">
        <f>IF(E4="","",IF(H4&lt;=0,"Pagada",IF(I4=0,"Al día",IF(I4&lt;=15,"1-15",IF(I4&lt;=30,"16-30","Más de 30")))))</f>
        <v/>
      </c>
    </row>
    <row r="5">
      <c r="A5" s="19" t="inlineStr">
        <is>
          <t>FE-004</t>
        </is>
      </c>
      <c r="B5" s="19" t="inlineStr">
        <is>
          <t>Taller Mecánico Rápido</t>
        </is>
      </c>
      <c r="C5" s="17" t="n">
        <v>46296</v>
      </c>
      <c r="D5" s="18">
        <f>IF(C5="","",C5+4)</f>
        <v/>
      </c>
      <c r="E5" s="20" t="n">
        <v>750000</v>
      </c>
      <c r="F5" s="20" t="n"/>
      <c r="G5" s="17" t="n"/>
      <c r="H5" s="24">
        <f>IF(E5="","",E5-N(F5))</f>
        <v/>
      </c>
      <c r="I5">
        <f>IF(OR(H5="",N(H5)&lt;=0),0,MAX(0,Parametros!$B$2-D5))</f>
        <v/>
      </c>
      <c r="J5">
        <f>IF(E5="","",IF(H5&lt;=0,"Pagada",IF(I5=0,"Al día",IF(I5&lt;=15,"1-15",IF(I5&lt;=30,"16-30","Más de 30")))))</f>
        <v/>
      </c>
    </row>
    <row r="6">
      <c r="A6" s="19" t="inlineStr">
        <is>
          <t>FE-005</t>
        </is>
      </c>
      <c r="B6" s="19" t="inlineStr">
        <is>
          <t>Taller Mecánico Rápido</t>
        </is>
      </c>
      <c r="C6" s="17" t="n">
        <v>46266</v>
      </c>
      <c r="D6" s="18">
        <f>IF(C6="","",C6+4)</f>
        <v/>
      </c>
      <c r="E6" s="20" t="n">
        <v>750000</v>
      </c>
      <c r="F6" s="20" t="n">
        <v>300000</v>
      </c>
      <c r="G6" s="17" t="n">
        <v>46291</v>
      </c>
      <c r="H6" s="24">
        <f>IF(E6="","",E6-N(F6))</f>
        <v/>
      </c>
      <c r="I6">
        <f>IF(OR(H6="",N(H6)&lt;=0),0,MAX(0,Parametros!$B$2-D6))</f>
        <v/>
      </c>
      <c r="J6">
        <f>IF(E6="","",IF(H6&lt;=0,"Pagada",IF(I6=0,"Al día",IF(I6&lt;=15,"1-15",IF(I6&lt;=30,"16-30","Más de 30")))))</f>
        <v/>
      </c>
    </row>
    <row r="7">
      <c r="A7" s="19" t="n"/>
      <c r="B7" s="19" t="n"/>
      <c r="C7" s="17" t="n"/>
      <c r="D7" s="18">
        <f>IF(C7="","",C7+4)</f>
        <v/>
      </c>
      <c r="E7" s="20" t="n"/>
      <c r="F7" s="20" t="n"/>
      <c r="G7" s="17" t="n"/>
      <c r="H7" s="24">
        <f>IF(E7="","",E7-N(F7))</f>
        <v/>
      </c>
      <c r="I7">
        <f>IF(OR(H7="",N(H7)&lt;=0),0,MAX(0,Parametros!$B$2-D7))</f>
        <v/>
      </c>
      <c r="J7">
        <f>IF(E7="","",IF(H7&lt;=0,"Pagada",IF(I7=0,"Al día",IF(I7&lt;=15,"1-15",IF(I7&lt;=30,"16-30","Más de 30")))))</f>
        <v/>
      </c>
    </row>
    <row r="8">
      <c r="A8" s="19" t="n"/>
      <c r="B8" s="19" t="n"/>
      <c r="C8" s="17" t="n"/>
      <c r="D8" s="18">
        <f>IF(C8="","",C8+4)</f>
        <v/>
      </c>
      <c r="E8" s="20" t="n"/>
      <c r="F8" s="20" t="n"/>
      <c r="G8" s="17" t="n"/>
      <c r="H8" s="24">
        <f>IF(E8="","",E8-N(F8))</f>
        <v/>
      </c>
      <c r="I8">
        <f>IF(OR(H8="",N(H8)&lt;=0),0,MAX(0,Parametros!$B$2-D8))</f>
        <v/>
      </c>
      <c r="J8">
        <f>IF(E8="","",IF(H8&lt;=0,"Pagada",IF(I8=0,"Al día",IF(I8&lt;=15,"1-15",IF(I8&lt;=30,"16-30","Más de 30")))))</f>
        <v/>
      </c>
    </row>
    <row r="9">
      <c r="A9" s="19" t="n"/>
      <c r="B9" s="19" t="n"/>
      <c r="C9" s="17" t="n"/>
      <c r="D9" s="18">
        <f>IF(C9="","",C9+4)</f>
        <v/>
      </c>
      <c r="E9" s="20" t="n"/>
      <c r="F9" s="20" t="n"/>
      <c r="G9" s="17" t="n"/>
      <c r="H9" s="24">
        <f>IF(E9="","",E9-N(F9))</f>
        <v/>
      </c>
      <c r="I9">
        <f>IF(OR(H9="",N(H9)&lt;=0),0,MAX(0,Parametros!$B$2-D9))</f>
        <v/>
      </c>
      <c r="J9">
        <f>IF(E9="","",IF(H9&lt;=0,"Pagada",IF(I9=0,"Al día",IF(I9&lt;=15,"1-15",IF(I9&lt;=30,"16-30","Más de 30")))))</f>
        <v/>
      </c>
    </row>
    <row r="10">
      <c r="A10" s="19" t="n"/>
      <c r="B10" s="19" t="n"/>
      <c r="C10" s="17" t="n"/>
      <c r="D10" s="18">
        <f>IF(C10="","",C10+4)</f>
        <v/>
      </c>
      <c r="E10" s="20" t="n"/>
      <c r="F10" s="20" t="n"/>
      <c r="G10" s="17" t="n"/>
      <c r="H10" s="24">
        <f>IF(E10="","",E10-N(F10))</f>
        <v/>
      </c>
      <c r="I10">
        <f>IF(OR(H10="",N(H10)&lt;=0),0,MAX(0,Parametros!$B$2-D10))</f>
        <v/>
      </c>
      <c r="J10">
        <f>IF(E10="","",IF(H10&lt;=0,"Pagada",IF(I10=0,"Al día",IF(I10&lt;=15,"1-15",IF(I10&lt;=30,"16-30","Más de 30")))))</f>
        <v/>
      </c>
    </row>
    <row r="11">
      <c r="A11" s="19" t="n"/>
      <c r="B11" s="19" t="n"/>
      <c r="C11" s="17" t="n"/>
      <c r="D11" s="18">
        <f>IF(C11="","",C11+4)</f>
        <v/>
      </c>
      <c r="E11" s="20" t="n"/>
      <c r="F11" s="20" t="n"/>
      <c r="G11" s="17" t="n"/>
      <c r="H11" s="24">
        <f>IF(E11="","",E11-N(F11))</f>
        <v/>
      </c>
      <c r="I11">
        <f>IF(OR(H11="",N(H11)&lt;=0),0,MAX(0,Parametros!$B$2-D11))</f>
        <v/>
      </c>
      <c r="J11">
        <f>IF(E11="","",IF(H11&lt;=0,"Pagada",IF(I11=0,"Al día",IF(I11&lt;=15,"1-15",IF(I11&lt;=30,"16-30","Más de 30")))))</f>
        <v/>
      </c>
    </row>
    <row r="12">
      <c r="A12" s="19" t="n"/>
      <c r="B12" s="19" t="n"/>
      <c r="C12" s="17" t="n"/>
      <c r="D12" s="18">
        <f>IF(C12="","",C12+4)</f>
        <v/>
      </c>
      <c r="E12" s="20" t="n"/>
      <c r="F12" s="20" t="n"/>
      <c r="G12" s="17" t="n"/>
      <c r="H12" s="24">
        <f>IF(E12="","",E12-N(F12))</f>
        <v/>
      </c>
      <c r="I12">
        <f>IF(OR(H12="",N(H12)&lt;=0),0,MAX(0,Parametros!$B$2-D12))</f>
        <v/>
      </c>
      <c r="J12">
        <f>IF(E12="","",IF(H12&lt;=0,"Pagada",IF(I12=0,"Al día",IF(I12&lt;=15,"1-15",IF(I12&lt;=30,"16-30","Más de 30")))))</f>
        <v/>
      </c>
    </row>
    <row r="13">
      <c r="A13" s="19" t="n"/>
      <c r="B13" s="19" t="n"/>
      <c r="C13" s="17" t="n"/>
      <c r="D13" s="18">
        <f>IF(C13="","",C13+4)</f>
        <v/>
      </c>
      <c r="E13" s="20" t="n"/>
      <c r="F13" s="20" t="n"/>
      <c r="G13" s="17" t="n"/>
      <c r="H13" s="24">
        <f>IF(E13="","",E13-N(F13))</f>
        <v/>
      </c>
      <c r="I13">
        <f>IF(OR(H13="",N(H13)&lt;=0),0,MAX(0,Parametros!$B$2-D13))</f>
        <v/>
      </c>
      <c r="J13">
        <f>IF(E13="","",IF(H13&lt;=0,"Pagada",IF(I13=0,"Al día",IF(I13&lt;=15,"1-15",IF(I13&lt;=30,"16-30","Más de 30")))))</f>
        <v/>
      </c>
    </row>
    <row r="14">
      <c r="A14" s="19" t="n"/>
      <c r="B14" s="19" t="n"/>
      <c r="C14" s="17" t="n"/>
      <c r="D14" s="18">
        <f>IF(C14="","",C14+4)</f>
        <v/>
      </c>
      <c r="E14" s="20" t="n"/>
      <c r="F14" s="20" t="n"/>
      <c r="G14" s="17" t="n"/>
      <c r="H14" s="24">
        <f>IF(E14="","",E14-N(F14))</f>
        <v/>
      </c>
      <c r="I14">
        <f>IF(OR(H14="",N(H14)&lt;=0),0,MAX(0,Parametros!$B$2-D14))</f>
        <v/>
      </c>
      <c r="J14">
        <f>IF(E14="","",IF(H14&lt;=0,"Pagada",IF(I14=0,"Al día",IF(I14&lt;=15,"1-15",IF(I14&lt;=30,"16-30","Más de 30")))))</f>
        <v/>
      </c>
    </row>
    <row r="15">
      <c r="A15" s="19" t="n"/>
      <c r="B15" s="19" t="n"/>
      <c r="C15" s="17" t="n"/>
      <c r="D15" s="18">
        <f>IF(C15="","",C15+4)</f>
        <v/>
      </c>
      <c r="E15" s="20" t="n"/>
      <c r="F15" s="20" t="n"/>
      <c r="G15" s="17" t="n"/>
      <c r="H15" s="24">
        <f>IF(E15="","",E15-N(F15))</f>
        <v/>
      </c>
      <c r="I15">
        <f>IF(OR(H15="",N(H15)&lt;=0),0,MAX(0,Parametros!$B$2-D15))</f>
        <v/>
      </c>
      <c r="J15">
        <f>IF(E15="","",IF(H15&lt;=0,"Pagada",IF(I15=0,"Al día",IF(I15&lt;=15,"1-15",IF(I15&lt;=30,"16-30","Más de 30")))))</f>
        <v/>
      </c>
    </row>
    <row r="16">
      <c r="A16" s="19" t="n"/>
      <c r="B16" s="19" t="n"/>
      <c r="C16" s="17" t="n"/>
      <c r="D16" s="18">
        <f>IF(C16="","",C16+4)</f>
        <v/>
      </c>
      <c r="E16" s="20" t="n"/>
      <c r="F16" s="20" t="n"/>
      <c r="G16" s="17" t="n"/>
      <c r="H16" s="24">
        <f>IF(E16="","",E16-N(F16))</f>
        <v/>
      </c>
      <c r="I16">
        <f>IF(OR(H16="",N(H16)&lt;=0),0,MAX(0,Parametros!$B$2-D16))</f>
        <v/>
      </c>
      <c r="J16">
        <f>IF(E16="","",IF(H16&lt;=0,"Pagada",IF(I16=0,"Al día",IF(I16&lt;=15,"1-15",IF(I16&lt;=30,"16-30","Más de 30")))))</f>
        <v/>
      </c>
    </row>
    <row r="17">
      <c r="A17" s="19" t="n"/>
      <c r="B17" s="19" t="n"/>
      <c r="C17" s="17" t="n"/>
      <c r="D17" s="18">
        <f>IF(C17="","",C17+4)</f>
        <v/>
      </c>
      <c r="E17" s="20" t="n"/>
      <c r="F17" s="20" t="n"/>
      <c r="G17" s="17" t="n"/>
      <c r="H17" s="24">
        <f>IF(E17="","",E17-N(F17))</f>
        <v/>
      </c>
      <c r="I17">
        <f>IF(OR(H17="",N(H17)&lt;=0),0,MAX(0,Parametros!$B$2-D17))</f>
        <v/>
      </c>
      <c r="J17">
        <f>IF(E17="","",IF(H17&lt;=0,"Pagada",IF(I17=0,"Al día",IF(I17&lt;=15,"1-15",IF(I17&lt;=30,"16-30","Más de 30")))))</f>
        <v/>
      </c>
    </row>
    <row r="18">
      <c r="A18" s="19" t="n"/>
      <c r="B18" s="19" t="n"/>
      <c r="C18" s="17" t="n"/>
      <c r="D18" s="18">
        <f>IF(C18="","",C18+4)</f>
        <v/>
      </c>
      <c r="E18" s="20" t="n"/>
      <c r="F18" s="20" t="n"/>
      <c r="G18" s="17" t="n"/>
      <c r="H18" s="24">
        <f>IF(E18="","",E18-N(F18))</f>
        <v/>
      </c>
      <c r="I18">
        <f>IF(OR(H18="",N(H18)&lt;=0),0,MAX(0,Parametros!$B$2-D18))</f>
        <v/>
      </c>
      <c r="J18">
        <f>IF(E18="","",IF(H18&lt;=0,"Pagada",IF(I18=0,"Al día",IF(I18&lt;=15,"1-15",IF(I18&lt;=30,"16-30","Más de 30")))))</f>
        <v/>
      </c>
    </row>
    <row r="19">
      <c r="A19" s="19" t="n"/>
      <c r="B19" s="19" t="n"/>
      <c r="C19" s="17" t="n"/>
      <c r="D19" s="18">
        <f>IF(C19="","",C19+4)</f>
        <v/>
      </c>
      <c r="E19" s="20" t="n"/>
      <c r="F19" s="20" t="n"/>
      <c r="G19" s="17" t="n"/>
      <c r="H19" s="24">
        <f>IF(E19="","",E19-N(F19))</f>
        <v/>
      </c>
      <c r="I19">
        <f>IF(OR(H19="",N(H19)&lt;=0),0,MAX(0,Parametros!$B$2-D19))</f>
        <v/>
      </c>
      <c r="J19">
        <f>IF(E19="","",IF(H19&lt;=0,"Pagada",IF(I19=0,"Al día",IF(I19&lt;=15,"1-15",IF(I19&lt;=30,"16-30","Más de 30")))))</f>
        <v/>
      </c>
    </row>
    <row r="20">
      <c r="A20" s="19" t="n"/>
      <c r="B20" s="19" t="n"/>
      <c r="C20" s="17" t="n"/>
      <c r="D20" s="18">
        <f>IF(C20="","",C20+4)</f>
        <v/>
      </c>
      <c r="E20" s="20" t="n"/>
      <c r="F20" s="20" t="n"/>
      <c r="G20" s="17" t="n"/>
      <c r="H20" s="24">
        <f>IF(E20="","",E20-N(F20))</f>
        <v/>
      </c>
      <c r="I20">
        <f>IF(OR(H20="",N(H20)&lt;=0),0,MAX(0,Parametros!$B$2-D20))</f>
        <v/>
      </c>
      <c r="J20">
        <f>IF(E20="","",IF(H20&lt;=0,"Pagada",IF(I20=0,"Al día",IF(I20&lt;=15,"1-15",IF(I20&lt;=30,"16-30","Más de 30")))))</f>
        <v/>
      </c>
    </row>
    <row r="21">
      <c r="A21" s="19" t="n"/>
      <c r="B21" s="19" t="n"/>
      <c r="C21" s="17" t="n"/>
      <c r="D21" s="18">
        <f>IF(C21="","",C21+4)</f>
        <v/>
      </c>
      <c r="E21" s="20" t="n"/>
      <c r="F21" s="20" t="n"/>
      <c r="G21" s="17" t="n"/>
      <c r="H21" s="24">
        <f>IF(E21="","",E21-N(F21))</f>
        <v/>
      </c>
      <c r="I21">
        <f>IF(OR(H21="",N(H21)&lt;=0),0,MAX(0,Parametros!$B$2-D21))</f>
        <v/>
      </c>
      <c r="J21">
        <f>IF(E21="","",IF(H21&lt;=0,"Pagada",IF(I21=0,"Al día",IF(I21&lt;=15,"1-15",IF(I21&lt;=30,"16-30","Más de 30")))))</f>
        <v/>
      </c>
    </row>
    <row r="22">
      <c r="A22" s="19" t="n"/>
      <c r="B22" s="19" t="n"/>
      <c r="C22" s="17" t="n"/>
      <c r="D22" s="18">
        <f>IF(C22="","",C22+4)</f>
        <v/>
      </c>
      <c r="E22" s="20" t="n"/>
      <c r="F22" s="20" t="n"/>
      <c r="G22" s="17" t="n"/>
      <c r="H22" s="24">
        <f>IF(E22="","",E22-N(F22))</f>
        <v/>
      </c>
      <c r="I22">
        <f>IF(OR(H22="",N(H22)&lt;=0),0,MAX(0,Parametros!$B$2-D22))</f>
        <v/>
      </c>
      <c r="J22">
        <f>IF(E22="","",IF(H22&lt;=0,"Pagada",IF(I22=0,"Al día",IF(I22&lt;=15,"1-15",IF(I22&lt;=30,"16-30","Más de 30")))))</f>
        <v/>
      </c>
    </row>
    <row r="23">
      <c r="A23" s="19" t="n"/>
      <c r="B23" s="19" t="n"/>
      <c r="C23" s="17" t="n"/>
      <c r="D23" s="18">
        <f>IF(C23="","",C23+4)</f>
        <v/>
      </c>
      <c r="E23" s="20" t="n"/>
      <c r="F23" s="20" t="n"/>
      <c r="G23" s="17" t="n"/>
      <c r="H23" s="24">
        <f>IF(E23="","",E23-N(F23))</f>
        <v/>
      </c>
      <c r="I23">
        <f>IF(OR(H23="",N(H23)&lt;=0),0,MAX(0,Parametros!$B$2-D23))</f>
        <v/>
      </c>
      <c r="J23">
        <f>IF(E23="","",IF(H23&lt;=0,"Pagada",IF(I23=0,"Al día",IF(I23&lt;=15,"1-15",IF(I23&lt;=30,"16-30","Más de 30")))))</f>
        <v/>
      </c>
    </row>
    <row r="24">
      <c r="A24" s="19" t="n"/>
      <c r="B24" s="19" t="n"/>
      <c r="C24" s="17" t="n"/>
      <c r="D24" s="18">
        <f>IF(C24="","",C24+4)</f>
        <v/>
      </c>
      <c r="E24" s="20" t="n"/>
      <c r="F24" s="20" t="n"/>
      <c r="G24" s="17" t="n"/>
      <c r="H24" s="24">
        <f>IF(E24="","",E24-N(F24))</f>
        <v/>
      </c>
      <c r="I24">
        <f>IF(OR(H24="",N(H24)&lt;=0),0,MAX(0,Parametros!$B$2-D24))</f>
        <v/>
      </c>
      <c r="J24">
        <f>IF(E24="","",IF(H24&lt;=0,"Pagada",IF(I24=0,"Al día",IF(I24&lt;=15,"1-15",IF(I24&lt;=30,"16-30","Más de 30")))))</f>
        <v/>
      </c>
    </row>
    <row r="25">
      <c r="A25" s="19" t="n"/>
      <c r="B25" s="19" t="n"/>
      <c r="C25" s="17" t="n"/>
      <c r="D25" s="18">
        <f>IF(C25="","",C25+4)</f>
        <v/>
      </c>
      <c r="E25" s="20" t="n"/>
      <c r="F25" s="20" t="n"/>
      <c r="G25" s="17" t="n"/>
      <c r="H25" s="24">
        <f>IF(E25="","",E25-N(F25))</f>
        <v/>
      </c>
      <c r="I25">
        <f>IF(OR(H25="",N(H25)&lt;=0),0,MAX(0,Parametros!$B$2-D25))</f>
        <v/>
      </c>
      <c r="J25">
        <f>IF(E25="","",IF(H25&lt;=0,"Pagada",IF(I25=0,"Al día",IF(I25&lt;=15,"1-15",IF(I25&lt;=30,"16-30","Más de 30")))))</f>
        <v/>
      </c>
    </row>
    <row r="26">
      <c r="A26" s="19" t="n"/>
      <c r="B26" s="19" t="n"/>
      <c r="C26" s="17" t="n"/>
      <c r="D26" s="18">
        <f>IF(C26="","",C26+4)</f>
        <v/>
      </c>
      <c r="E26" s="20" t="n"/>
      <c r="F26" s="20" t="n"/>
      <c r="G26" s="17" t="n"/>
      <c r="H26" s="24">
        <f>IF(E26="","",E26-N(F26))</f>
        <v/>
      </c>
      <c r="I26">
        <f>IF(OR(H26="",N(H26)&lt;=0),0,MAX(0,Parametros!$B$2-D26))</f>
        <v/>
      </c>
      <c r="J26">
        <f>IF(E26="","",IF(H26&lt;=0,"Pagada",IF(I26=0,"Al día",IF(I26&lt;=15,"1-15",IF(I26&lt;=30,"16-30","Más de 30")))))</f>
        <v/>
      </c>
    </row>
    <row r="27">
      <c r="A27" s="19" t="n"/>
      <c r="B27" s="19" t="n"/>
      <c r="C27" s="17" t="n"/>
      <c r="D27" s="18">
        <f>IF(C27="","",C27+4)</f>
        <v/>
      </c>
      <c r="E27" s="20" t="n"/>
      <c r="F27" s="20" t="n"/>
      <c r="G27" s="17" t="n"/>
      <c r="H27" s="24">
        <f>IF(E27="","",E27-N(F27))</f>
        <v/>
      </c>
      <c r="I27">
        <f>IF(OR(H27="",N(H27)&lt;=0),0,MAX(0,Parametros!$B$2-D27))</f>
        <v/>
      </c>
      <c r="J27">
        <f>IF(E27="","",IF(H27&lt;=0,"Pagada",IF(I27=0,"Al día",IF(I27&lt;=15,"1-15",IF(I27&lt;=30,"16-30","Más de 30")))))</f>
        <v/>
      </c>
    </row>
    <row r="28">
      <c r="A28" s="19" t="n"/>
      <c r="B28" s="19" t="n"/>
      <c r="C28" s="17" t="n"/>
      <c r="D28" s="18">
        <f>IF(C28="","",C28+4)</f>
        <v/>
      </c>
      <c r="E28" s="20" t="n"/>
      <c r="F28" s="20" t="n"/>
      <c r="G28" s="17" t="n"/>
      <c r="H28" s="24">
        <f>IF(E28="","",E28-N(F28))</f>
        <v/>
      </c>
      <c r="I28">
        <f>IF(OR(H28="",N(H28)&lt;=0),0,MAX(0,Parametros!$B$2-D28))</f>
        <v/>
      </c>
      <c r="J28">
        <f>IF(E28="","",IF(H28&lt;=0,"Pagada",IF(I28=0,"Al día",IF(I28&lt;=15,"1-15",IF(I28&lt;=30,"16-30","Más de 30")))))</f>
        <v/>
      </c>
    </row>
    <row r="29">
      <c r="A29" s="19" t="n"/>
      <c r="B29" s="19" t="n"/>
      <c r="C29" s="17" t="n"/>
      <c r="D29" s="18">
        <f>IF(C29="","",C29+4)</f>
        <v/>
      </c>
      <c r="E29" s="20" t="n"/>
      <c r="F29" s="20" t="n"/>
      <c r="G29" s="17" t="n"/>
      <c r="H29" s="24">
        <f>IF(E29="","",E29-N(F29))</f>
        <v/>
      </c>
      <c r="I29">
        <f>IF(OR(H29="",N(H29)&lt;=0),0,MAX(0,Parametros!$B$2-D29))</f>
        <v/>
      </c>
      <c r="J29">
        <f>IF(E29="","",IF(H29&lt;=0,"Pagada",IF(I29=0,"Al día",IF(I29&lt;=15,"1-15",IF(I29&lt;=30,"16-30","Más de 30")))))</f>
        <v/>
      </c>
    </row>
    <row r="30">
      <c r="A30" s="19" t="n"/>
      <c r="B30" s="19" t="n"/>
      <c r="C30" s="17" t="n"/>
      <c r="D30" s="18">
        <f>IF(C30="","",C30+4)</f>
        <v/>
      </c>
      <c r="E30" s="20" t="n"/>
      <c r="F30" s="20" t="n"/>
      <c r="G30" s="17" t="n"/>
      <c r="H30" s="24">
        <f>IF(E30="","",E30-N(F30))</f>
        <v/>
      </c>
      <c r="I30">
        <f>IF(OR(H30="",N(H30)&lt;=0),0,MAX(0,Parametros!$B$2-D30))</f>
        <v/>
      </c>
      <c r="J30">
        <f>IF(E30="","",IF(H30&lt;=0,"Pagada",IF(I30=0,"Al día",IF(I30&lt;=15,"1-15",IF(I30&lt;=30,"16-30","Más de 30")))))</f>
        <v/>
      </c>
    </row>
    <row r="31">
      <c r="A31" s="19" t="n"/>
      <c r="B31" s="19" t="n"/>
      <c r="C31" s="17" t="n"/>
      <c r="D31" s="18">
        <f>IF(C31="","",C31+4)</f>
        <v/>
      </c>
      <c r="E31" s="20" t="n"/>
      <c r="F31" s="20" t="n"/>
      <c r="G31" s="17" t="n"/>
      <c r="H31" s="24">
        <f>IF(E31="","",E31-N(F31))</f>
        <v/>
      </c>
      <c r="I31">
        <f>IF(OR(H31="",N(H31)&lt;=0),0,MAX(0,Parametros!$B$2-D31))</f>
        <v/>
      </c>
      <c r="J31">
        <f>IF(E31="","",IF(H31&lt;=0,"Pagada",IF(I31=0,"Al día",IF(I31&lt;=15,"1-15",IF(I31&lt;=30,"16-30","Más de 30")))))</f>
        <v/>
      </c>
    </row>
    <row r="32">
      <c r="A32" s="19" t="n"/>
      <c r="B32" s="19" t="n"/>
      <c r="C32" s="17" t="n"/>
      <c r="D32" s="18">
        <f>IF(C32="","",C32+4)</f>
        <v/>
      </c>
      <c r="E32" s="20" t="n"/>
      <c r="F32" s="20" t="n"/>
      <c r="G32" s="17" t="n"/>
      <c r="H32" s="24">
        <f>IF(E32="","",E32-N(F32))</f>
        <v/>
      </c>
      <c r="I32">
        <f>IF(OR(H32="",N(H32)&lt;=0),0,MAX(0,Parametros!$B$2-D32))</f>
        <v/>
      </c>
      <c r="J32">
        <f>IF(E32="","",IF(H32&lt;=0,"Pagada",IF(I32=0,"Al día",IF(I32&lt;=15,"1-15",IF(I32&lt;=30,"16-30","Más de 30")))))</f>
        <v/>
      </c>
    </row>
    <row r="33">
      <c r="A33" s="19" t="n"/>
      <c r="B33" s="19" t="n"/>
      <c r="C33" s="17" t="n"/>
      <c r="D33" s="18">
        <f>IF(C33="","",C33+4)</f>
        <v/>
      </c>
      <c r="E33" s="20" t="n"/>
      <c r="F33" s="20" t="n"/>
      <c r="G33" s="17" t="n"/>
      <c r="H33" s="24">
        <f>IF(E33="","",E33-N(F33))</f>
        <v/>
      </c>
      <c r="I33">
        <f>IF(OR(H33="",N(H33)&lt;=0),0,MAX(0,Parametros!$B$2-D33))</f>
        <v/>
      </c>
      <c r="J33">
        <f>IF(E33="","",IF(H33&lt;=0,"Pagada",IF(I33=0,"Al día",IF(I33&lt;=15,"1-15",IF(I33&lt;=30,"16-30","Más de 30")))))</f>
        <v/>
      </c>
    </row>
    <row r="34">
      <c r="A34" s="19" t="n"/>
      <c r="B34" s="19" t="n"/>
      <c r="C34" s="17" t="n"/>
      <c r="D34" s="18">
        <f>IF(C34="","",C34+4)</f>
        <v/>
      </c>
      <c r="E34" s="20" t="n"/>
      <c r="F34" s="20" t="n"/>
      <c r="G34" s="17" t="n"/>
      <c r="H34" s="24">
        <f>IF(E34="","",E34-N(F34))</f>
        <v/>
      </c>
      <c r="I34">
        <f>IF(OR(H34="",N(H34)&lt;=0),0,MAX(0,Parametros!$B$2-D34))</f>
        <v/>
      </c>
      <c r="J34">
        <f>IF(E34="","",IF(H34&lt;=0,"Pagada",IF(I34=0,"Al día",IF(I34&lt;=15,"1-15",IF(I34&lt;=30,"16-30","Más de 30")))))</f>
        <v/>
      </c>
    </row>
    <row r="35">
      <c r="A35" s="19" t="n"/>
      <c r="B35" s="19" t="n"/>
      <c r="C35" s="17" t="n"/>
      <c r="D35" s="18">
        <f>IF(C35="","",C35+4)</f>
        <v/>
      </c>
      <c r="E35" s="20" t="n"/>
      <c r="F35" s="20" t="n"/>
      <c r="G35" s="17" t="n"/>
      <c r="H35" s="24">
        <f>IF(E35="","",E35-N(F35))</f>
        <v/>
      </c>
      <c r="I35">
        <f>IF(OR(H35="",N(H35)&lt;=0),0,MAX(0,Parametros!$B$2-D35))</f>
        <v/>
      </c>
      <c r="J35">
        <f>IF(E35="","",IF(H35&lt;=0,"Pagada",IF(I35=0,"Al día",IF(I35&lt;=15,"1-15",IF(I35&lt;=30,"16-30","Más de 30")))))</f>
        <v/>
      </c>
    </row>
    <row r="36">
      <c r="A36" s="19" t="n"/>
      <c r="B36" s="19" t="n"/>
      <c r="C36" s="17" t="n"/>
      <c r="D36" s="18">
        <f>IF(C36="","",C36+4)</f>
        <v/>
      </c>
      <c r="E36" s="20" t="n"/>
      <c r="F36" s="20" t="n"/>
      <c r="G36" s="17" t="n"/>
      <c r="H36" s="24">
        <f>IF(E36="","",E36-N(F36))</f>
        <v/>
      </c>
      <c r="I36">
        <f>IF(OR(H36="",N(H36)&lt;=0),0,MAX(0,Parametros!$B$2-D36))</f>
        <v/>
      </c>
      <c r="J36">
        <f>IF(E36="","",IF(H36&lt;=0,"Pagada",IF(I36=0,"Al día",IF(I36&lt;=15,"1-15",IF(I36&lt;=30,"16-30","Más de 30")))))</f>
        <v/>
      </c>
    </row>
    <row r="37">
      <c r="A37" s="19" t="n"/>
      <c r="B37" s="19" t="n"/>
      <c r="C37" s="17" t="n"/>
      <c r="D37" s="18">
        <f>IF(C37="","",C37+4)</f>
        <v/>
      </c>
      <c r="E37" s="20" t="n"/>
      <c r="F37" s="20" t="n"/>
      <c r="G37" s="17" t="n"/>
      <c r="H37" s="24">
        <f>IF(E37="","",E37-N(F37))</f>
        <v/>
      </c>
      <c r="I37">
        <f>IF(OR(H37="",N(H37)&lt;=0),0,MAX(0,Parametros!$B$2-D37))</f>
        <v/>
      </c>
      <c r="J37">
        <f>IF(E37="","",IF(H37&lt;=0,"Pagada",IF(I37=0,"Al día",IF(I37&lt;=15,"1-15",IF(I37&lt;=30,"16-30","Más de 30")))))</f>
        <v/>
      </c>
    </row>
    <row r="38">
      <c r="A38" s="19" t="n"/>
      <c r="B38" s="19" t="n"/>
      <c r="C38" s="17" t="n"/>
      <c r="D38" s="18">
        <f>IF(C38="","",C38+4)</f>
        <v/>
      </c>
      <c r="E38" s="20" t="n"/>
      <c r="F38" s="20" t="n"/>
      <c r="G38" s="17" t="n"/>
      <c r="H38" s="24">
        <f>IF(E38="","",E38-N(F38))</f>
        <v/>
      </c>
      <c r="I38">
        <f>IF(OR(H38="",N(H38)&lt;=0),0,MAX(0,Parametros!$B$2-D38))</f>
        <v/>
      </c>
      <c r="J38">
        <f>IF(E38="","",IF(H38&lt;=0,"Pagada",IF(I38=0,"Al día",IF(I38&lt;=15,"1-15",IF(I38&lt;=30,"16-30","Más de 30")))))</f>
        <v/>
      </c>
    </row>
    <row r="39">
      <c r="A39" s="19" t="n"/>
      <c r="B39" s="19" t="n"/>
      <c r="C39" s="17" t="n"/>
      <c r="D39" s="18">
        <f>IF(C39="","",C39+4)</f>
        <v/>
      </c>
      <c r="E39" s="20" t="n"/>
      <c r="F39" s="20" t="n"/>
      <c r="G39" s="17" t="n"/>
      <c r="H39" s="24">
        <f>IF(E39="","",E39-N(F39))</f>
        <v/>
      </c>
      <c r="I39">
        <f>IF(OR(H39="",N(H39)&lt;=0),0,MAX(0,Parametros!$B$2-D39))</f>
        <v/>
      </c>
      <c r="J39">
        <f>IF(E39="","",IF(H39&lt;=0,"Pagada",IF(I39=0,"Al día",IF(I39&lt;=15,"1-15",IF(I39&lt;=30,"16-30","Más de 30")))))</f>
        <v/>
      </c>
    </row>
    <row r="40">
      <c r="A40" s="19" t="n"/>
      <c r="B40" s="19" t="n"/>
      <c r="C40" s="17" t="n"/>
      <c r="D40" s="18">
        <f>IF(C40="","",C40+4)</f>
        <v/>
      </c>
      <c r="E40" s="20" t="n"/>
      <c r="F40" s="20" t="n"/>
      <c r="G40" s="17" t="n"/>
      <c r="H40" s="24">
        <f>IF(E40="","",E40-N(F40))</f>
        <v/>
      </c>
      <c r="I40">
        <f>IF(OR(H40="",N(H40)&lt;=0),0,MAX(0,Parametros!$B$2-D40))</f>
        <v/>
      </c>
      <c r="J40">
        <f>IF(E40="","",IF(H40&lt;=0,"Pagada",IF(I40=0,"Al día",IF(I40&lt;=15,"1-15",IF(I40&lt;=30,"16-30","Más de 30")))))</f>
        <v/>
      </c>
    </row>
    <row r="41">
      <c r="A41" s="19" t="n"/>
      <c r="B41" s="19" t="n"/>
      <c r="C41" s="17" t="n"/>
      <c r="D41" s="18">
        <f>IF(C41="","",C41+4)</f>
        <v/>
      </c>
      <c r="E41" s="20" t="n"/>
      <c r="F41" s="20" t="n"/>
      <c r="G41" s="17" t="n"/>
      <c r="H41" s="24">
        <f>IF(E41="","",E41-N(F41))</f>
        <v/>
      </c>
      <c r="I41">
        <f>IF(OR(H41="",N(H41)&lt;=0),0,MAX(0,Parametros!$B$2-D41))</f>
        <v/>
      </c>
      <c r="J41">
        <f>IF(E41="","",IF(H41&lt;=0,"Pagada",IF(I41=0,"Al día",IF(I41&lt;=15,"1-15",IF(I41&lt;=30,"16-30","Más de 30")))))</f>
        <v/>
      </c>
    </row>
    <row r="42">
      <c r="A42" s="19" t="n"/>
      <c r="B42" s="19" t="n"/>
      <c r="C42" s="17" t="n"/>
      <c r="D42" s="18">
        <f>IF(C42="","",C42+4)</f>
        <v/>
      </c>
      <c r="E42" s="20" t="n"/>
      <c r="F42" s="20" t="n"/>
      <c r="G42" s="17" t="n"/>
      <c r="H42" s="24">
        <f>IF(E42="","",E42-N(F42))</f>
        <v/>
      </c>
      <c r="I42">
        <f>IF(OR(H42="",N(H42)&lt;=0),0,MAX(0,Parametros!$B$2-D42))</f>
        <v/>
      </c>
      <c r="J42">
        <f>IF(E42="","",IF(H42&lt;=0,"Pagada",IF(I42=0,"Al día",IF(I42&lt;=15,"1-15",IF(I42&lt;=30,"16-30","Más de 30")))))</f>
        <v/>
      </c>
    </row>
    <row r="43">
      <c r="A43" s="19" t="n"/>
      <c r="B43" s="19" t="n"/>
      <c r="C43" s="17" t="n"/>
      <c r="D43" s="18">
        <f>IF(C43="","",C43+4)</f>
        <v/>
      </c>
      <c r="E43" s="20" t="n"/>
      <c r="F43" s="20" t="n"/>
      <c r="G43" s="17" t="n"/>
      <c r="H43" s="24">
        <f>IF(E43="","",E43-N(F43))</f>
        <v/>
      </c>
      <c r="I43">
        <f>IF(OR(H43="",N(H43)&lt;=0),0,MAX(0,Parametros!$B$2-D43))</f>
        <v/>
      </c>
      <c r="J43">
        <f>IF(E43="","",IF(H43&lt;=0,"Pagada",IF(I43=0,"Al día",IF(I43&lt;=15,"1-15",IF(I43&lt;=30,"16-30","Más de 30")))))</f>
        <v/>
      </c>
    </row>
    <row r="44">
      <c r="A44" s="19" t="n"/>
      <c r="B44" s="19" t="n"/>
      <c r="C44" s="17" t="n"/>
      <c r="D44" s="18">
        <f>IF(C44="","",C44+4)</f>
        <v/>
      </c>
      <c r="E44" s="20" t="n"/>
      <c r="F44" s="20" t="n"/>
      <c r="G44" s="17" t="n"/>
      <c r="H44" s="24">
        <f>IF(E44="","",E44-N(F44))</f>
        <v/>
      </c>
      <c r="I44">
        <f>IF(OR(H44="",N(H44)&lt;=0),0,MAX(0,Parametros!$B$2-D44))</f>
        <v/>
      </c>
      <c r="J44">
        <f>IF(E44="","",IF(H44&lt;=0,"Pagada",IF(I44=0,"Al día",IF(I44&lt;=15,"1-15",IF(I44&lt;=30,"16-30","Más de 30")))))</f>
        <v/>
      </c>
    </row>
    <row r="45">
      <c r="A45" s="19" t="n"/>
      <c r="B45" s="19" t="n"/>
      <c r="C45" s="17" t="n"/>
      <c r="D45" s="18">
        <f>IF(C45="","",C45+4)</f>
        <v/>
      </c>
      <c r="E45" s="20" t="n"/>
      <c r="F45" s="20" t="n"/>
      <c r="G45" s="17" t="n"/>
      <c r="H45" s="24">
        <f>IF(E45="","",E45-N(F45))</f>
        <v/>
      </c>
      <c r="I45">
        <f>IF(OR(H45="",N(H45)&lt;=0),0,MAX(0,Parametros!$B$2-D45))</f>
        <v/>
      </c>
      <c r="J45">
        <f>IF(E45="","",IF(H45&lt;=0,"Pagada",IF(I45=0,"Al día",IF(I45&lt;=15,"1-15",IF(I45&lt;=30,"16-30","Más de 30")))))</f>
        <v/>
      </c>
    </row>
    <row r="46">
      <c r="A46" s="19" t="n"/>
      <c r="B46" s="19" t="n"/>
      <c r="C46" s="17" t="n"/>
      <c r="D46" s="18">
        <f>IF(C46="","",C46+4)</f>
        <v/>
      </c>
      <c r="E46" s="20" t="n"/>
      <c r="F46" s="20" t="n"/>
      <c r="G46" s="17" t="n"/>
      <c r="H46" s="24">
        <f>IF(E46="","",E46-N(F46))</f>
        <v/>
      </c>
      <c r="I46">
        <f>IF(OR(H46="",N(H46)&lt;=0),0,MAX(0,Parametros!$B$2-D46))</f>
        <v/>
      </c>
      <c r="J46">
        <f>IF(E46="","",IF(H46&lt;=0,"Pagada",IF(I46=0,"Al día",IF(I46&lt;=15,"1-15",IF(I46&lt;=30,"16-30","Más de 30")))))</f>
        <v/>
      </c>
    </row>
    <row r="47">
      <c r="A47" s="19" t="n"/>
      <c r="B47" s="19" t="n"/>
      <c r="C47" s="17" t="n"/>
      <c r="D47" s="18">
        <f>IF(C47="","",C47+4)</f>
        <v/>
      </c>
      <c r="E47" s="20" t="n"/>
      <c r="F47" s="20" t="n"/>
      <c r="G47" s="17" t="n"/>
      <c r="H47" s="24">
        <f>IF(E47="","",E47-N(F47))</f>
        <v/>
      </c>
      <c r="I47">
        <f>IF(OR(H47="",N(H47)&lt;=0),0,MAX(0,Parametros!$B$2-D47))</f>
        <v/>
      </c>
      <c r="J47">
        <f>IF(E47="","",IF(H47&lt;=0,"Pagada",IF(I47=0,"Al día",IF(I47&lt;=15,"1-15",IF(I47&lt;=30,"16-30","Más de 30")))))</f>
        <v/>
      </c>
    </row>
    <row r="48">
      <c r="A48" s="19" t="n"/>
      <c r="B48" s="19" t="n"/>
      <c r="C48" s="17" t="n"/>
      <c r="D48" s="18">
        <f>IF(C48="","",C48+4)</f>
        <v/>
      </c>
      <c r="E48" s="20" t="n"/>
      <c r="F48" s="20" t="n"/>
      <c r="G48" s="17" t="n"/>
      <c r="H48" s="24">
        <f>IF(E48="","",E48-N(F48))</f>
        <v/>
      </c>
      <c r="I48">
        <f>IF(OR(H48="",N(H48)&lt;=0),0,MAX(0,Parametros!$B$2-D48))</f>
        <v/>
      </c>
      <c r="J48">
        <f>IF(E48="","",IF(H48&lt;=0,"Pagada",IF(I48=0,"Al día",IF(I48&lt;=15,"1-15",IF(I48&lt;=30,"16-30","Más de 30")))))</f>
        <v/>
      </c>
    </row>
    <row r="49">
      <c r="A49" s="19" t="n"/>
      <c r="B49" s="19" t="n"/>
      <c r="C49" s="17" t="n"/>
      <c r="D49" s="18">
        <f>IF(C49="","",C49+4)</f>
        <v/>
      </c>
      <c r="E49" s="20" t="n"/>
      <c r="F49" s="20" t="n"/>
      <c r="G49" s="17" t="n"/>
      <c r="H49" s="24">
        <f>IF(E49="","",E49-N(F49))</f>
        <v/>
      </c>
      <c r="I49">
        <f>IF(OR(H49="",N(H49)&lt;=0),0,MAX(0,Parametros!$B$2-D49))</f>
        <v/>
      </c>
      <c r="J49">
        <f>IF(E49="","",IF(H49&lt;=0,"Pagada",IF(I49=0,"Al día",IF(I49&lt;=15,"1-15",IF(I49&lt;=30,"16-30","Más de 30")))))</f>
        <v/>
      </c>
    </row>
    <row r="50">
      <c r="A50" s="19" t="n"/>
      <c r="B50" s="19" t="n"/>
      <c r="C50" s="17" t="n"/>
      <c r="D50" s="18">
        <f>IF(C50="","",C50+4)</f>
        <v/>
      </c>
      <c r="E50" s="20" t="n"/>
      <c r="F50" s="20" t="n"/>
      <c r="G50" s="17" t="n"/>
      <c r="H50" s="24">
        <f>IF(E50="","",E50-N(F50))</f>
        <v/>
      </c>
      <c r="I50">
        <f>IF(OR(H50="",N(H50)&lt;=0),0,MAX(0,Parametros!$B$2-D50))</f>
        <v/>
      </c>
      <c r="J50">
        <f>IF(E50="","",IF(H50&lt;=0,"Pagada",IF(I50=0,"Al día",IF(I50&lt;=15,"1-15",IF(I50&lt;=30,"16-30","Más de 30")))))</f>
        <v/>
      </c>
    </row>
    <row r="51">
      <c r="A51" s="19" t="n"/>
      <c r="B51" s="19" t="n"/>
      <c r="C51" s="17" t="n"/>
      <c r="D51" s="18">
        <f>IF(C51="","",C51+4)</f>
        <v/>
      </c>
      <c r="E51" s="20" t="n"/>
      <c r="F51" s="20" t="n"/>
      <c r="G51" s="17" t="n"/>
      <c r="H51" s="24">
        <f>IF(E51="","",E51-N(F51))</f>
        <v/>
      </c>
      <c r="I51">
        <f>IF(OR(H51="",N(H51)&lt;=0),0,MAX(0,Parametros!$B$2-D51))</f>
        <v/>
      </c>
      <c r="J51">
        <f>IF(E51="","",IF(H51&lt;=0,"Pagada",IF(I51=0,"Al día",IF(I51&lt;=15,"1-15",IF(I51&lt;=30,"16-30","Más de 30")))))</f>
        <v/>
      </c>
    </row>
    <row r="52">
      <c r="A52" s="19" t="n"/>
      <c r="B52" s="19" t="n"/>
      <c r="C52" s="17" t="n"/>
      <c r="D52" s="18">
        <f>IF(C52="","",C52+4)</f>
        <v/>
      </c>
      <c r="E52" s="20" t="n"/>
      <c r="F52" s="20" t="n"/>
      <c r="G52" s="17" t="n"/>
      <c r="H52" s="24">
        <f>IF(E52="","",E52-N(F52))</f>
        <v/>
      </c>
      <c r="I52">
        <f>IF(OR(H52="",N(H52)&lt;=0),0,MAX(0,Parametros!$B$2-D52))</f>
        <v/>
      </c>
      <c r="J52">
        <f>IF(E52="","",IF(H52&lt;=0,"Pagada",IF(I52=0,"Al día",IF(I52&lt;=15,"1-15",IF(I52&lt;=30,"16-30","Más de 30")))))</f>
        <v/>
      </c>
    </row>
    <row r="53">
      <c r="A53" s="19" t="n"/>
      <c r="B53" s="19" t="n"/>
      <c r="C53" s="17" t="n"/>
      <c r="D53" s="18">
        <f>IF(C53="","",C53+4)</f>
        <v/>
      </c>
      <c r="E53" s="20" t="n"/>
      <c r="F53" s="20" t="n"/>
      <c r="G53" s="17" t="n"/>
      <c r="H53" s="24">
        <f>IF(E53="","",E53-N(F53))</f>
        <v/>
      </c>
      <c r="I53">
        <f>IF(OR(H53="",N(H53)&lt;=0),0,MAX(0,Parametros!$B$2-D53))</f>
        <v/>
      </c>
      <c r="J53">
        <f>IF(E53="","",IF(H53&lt;=0,"Pagada",IF(I53=0,"Al día",IF(I53&lt;=15,"1-15",IF(I53&lt;=30,"16-30","Más de 30")))))</f>
        <v/>
      </c>
    </row>
    <row r="54">
      <c r="A54" s="19" t="n"/>
      <c r="B54" s="19" t="n"/>
      <c r="C54" s="17" t="n"/>
      <c r="D54" s="18">
        <f>IF(C54="","",C54+4)</f>
        <v/>
      </c>
      <c r="E54" s="20" t="n"/>
      <c r="F54" s="20" t="n"/>
      <c r="G54" s="17" t="n"/>
      <c r="H54" s="24">
        <f>IF(E54="","",E54-N(F54))</f>
        <v/>
      </c>
      <c r="I54">
        <f>IF(OR(H54="",N(H54)&lt;=0),0,MAX(0,Parametros!$B$2-D54))</f>
        <v/>
      </c>
      <c r="J54">
        <f>IF(E54="","",IF(H54&lt;=0,"Pagada",IF(I54=0,"Al día",IF(I54&lt;=15,"1-15",IF(I54&lt;=30,"16-30","Más de 30")))))</f>
        <v/>
      </c>
    </row>
    <row r="55">
      <c r="A55" s="19" t="n"/>
      <c r="B55" s="19" t="n"/>
      <c r="C55" s="17" t="n"/>
      <c r="D55" s="18">
        <f>IF(C55="","",C55+4)</f>
        <v/>
      </c>
      <c r="E55" s="20" t="n"/>
      <c r="F55" s="20" t="n"/>
      <c r="G55" s="17" t="n"/>
      <c r="H55" s="24">
        <f>IF(E55="","",E55-N(F55))</f>
        <v/>
      </c>
      <c r="I55">
        <f>IF(OR(H55="",N(H55)&lt;=0),0,MAX(0,Parametros!$B$2-D55))</f>
        <v/>
      </c>
      <c r="J55">
        <f>IF(E55="","",IF(H55&lt;=0,"Pagada",IF(I55=0,"Al día",IF(I55&lt;=15,"1-15",IF(I55&lt;=30,"16-30","Más de 30")))))</f>
        <v/>
      </c>
    </row>
    <row r="56">
      <c r="A56" s="19" t="n"/>
      <c r="B56" s="19" t="n"/>
      <c r="C56" s="17" t="n"/>
      <c r="D56" s="18">
        <f>IF(C56="","",C56+4)</f>
        <v/>
      </c>
      <c r="E56" s="20" t="n"/>
      <c r="F56" s="20" t="n"/>
      <c r="G56" s="17" t="n"/>
      <c r="H56" s="24">
        <f>IF(E56="","",E56-N(F56))</f>
        <v/>
      </c>
      <c r="I56">
        <f>IF(OR(H56="",N(H56)&lt;=0),0,MAX(0,Parametros!$B$2-D56))</f>
        <v/>
      </c>
      <c r="J56">
        <f>IF(E56="","",IF(H56&lt;=0,"Pagada",IF(I56=0,"Al día",IF(I56&lt;=15,"1-15",IF(I56&lt;=30,"16-30","Más de 30")))))</f>
        <v/>
      </c>
    </row>
    <row r="57">
      <c r="A57" s="19" t="n"/>
      <c r="B57" s="19" t="n"/>
      <c r="C57" s="17" t="n"/>
      <c r="D57" s="18">
        <f>IF(C57="","",C57+4)</f>
        <v/>
      </c>
      <c r="E57" s="20" t="n"/>
      <c r="F57" s="20" t="n"/>
      <c r="G57" s="17" t="n"/>
      <c r="H57" s="24">
        <f>IF(E57="","",E57-N(F57))</f>
        <v/>
      </c>
      <c r="I57">
        <f>IF(OR(H57="",N(H57)&lt;=0),0,MAX(0,Parametros!$B$2-D57))</f>
        <v/>
      </c>
      <c r="J57">
        <f>IF(E57="","",IF(H57&lt;=0,"Pagada",IF(I57=0,"Al día",IF(I57&lt;=15,"1-15",IF(I57&lt;=30,"16-30","Más de 30")))))</f>
        <v/>
      </c>
    </row>
    <row r="58">
      <c r="A58" s="19" t="n"/>
      <c r="B58" s="19" t="n"/>
      <c r="C58" s="17" t="n"/>
      <c r="D58" s="18">
        <f>IF(C58="","",C58+4)</f>
        <v/>
      </c>
      <c r="E58" s="20" t="n"/>
      <c r="F58" s="20" t="n"/>
      <c r="G58" s="17" t="n"/>
      <c r="H58" s="24">
        <f>IF(E58="","",E58-N(F58))</f>
        <v/>
      </c>
      <c r="I58">
        <f>IF(OR(H58="",N(H58)&lt;=0),0,MAX(0,Parametros!$B$2-D58))</f>
        <v/>
      </c>
      <c r="J58">
        <f>IF(E58="","",IF(H58&lt;=0,"Pagada",IF(I58=0,"Al día",IF(I58&lt;=15,"1-15",IF(I58&lt;=30,"16-30","Más de 30")))))</f>
        <v/>
      </c>
    </row>
    <row r="59">
      <c r="A59" s="19" t="n"/>
      <c r="B59" s="19" t="n"/>
      <c r="C59" s="17" t="n"/>
      <c r="D59" s="18">
        <f>IF(C59="","",C59+4)</f>
        <v/>
      </c>
      <c r="E59" s="20" t="n"/>
      <c r="F59" s="20" t="n"/>
      <c r="G59" s="17" t="n"/>
      <c r="H59" s="24">
        <f>IF(E59="","",E59-N(F59))</f>
        <v/>
      </c>
      <c r="I59">
        <f>IF(OR(H59="",N(H59)&lt;=0),0,MAX(0,Parametros!$B$2-D59))</f>
        <v/>
      </c>
      <c r="J59">
        <f>IF(E59="","",IF(H59&lt;=0,"Pagada",IF(I59=0,"Al día",IF(I59&lt;=15,"1-15",IF(I59&lt;=30,"16-30","Más de 30")))))</f>
        <v/>
      </c>
    </row>
    <row r="60">
      <c r="A60" s="19" t="n"/>
      <c r="B60" s="19" t="n"/>
      <c r="C60" s="17" t="n"/>
      <c r="D60" s="18">
        <f>IF(C60="","",C60+4)</f>
        <v/>
      </c>
      <c r="E60" s="20" t="n"/>
      <c r="F60" s="20" t="n"/>
      <c r="G60" s="17" t="n"/>
      <c r="H60" s="24">
        <f>IF(E60="","",E60-N(F60))</f>
        <v/>
      </c>
      <c r="I60">
        <f>IF(OR(H60="",N(H60)&lt;=0),0,MAX(0,Parametros!$B$2-D60))</f>
        <v/>
      </c>
      <c r="J60">
        <f>IF(E60="","",IF(H60&lt;=0,"Pagada",IF(I60=0,"Al día",IF(I60&lt;=15,"1-15",IF(I60&lt;=30,"16-30","Más de 30")))))</f>
        <v/>
      </c>
    </row>
    <row r="61">
      <c r="A61" s="19" t="n"/>
      <c r="B61" s="19" t="n"/>
      <c r="C61" s="17" t="n"/>
      <c r="D61" s="18">
        <f>IF(C61="","",C61+4)</f>
        <v/>
      </c>
      <c r="E61" s="20" t="n"/>
      <c r="F61" s="20" t="n"/>
      <c r="G61" s="17" t="n"/>
      <c r="H61" s="24">
        <f>IF(E61="","",E61-N(F61))</f>
        <v/>
      </c>
      <c r="I61">
        <f>IF(OR(H61="",N(H61)&lt;=0),0,MAX(0,Parametros!$B$2-D61))</f>
        <v/>
      </c>
      <c r="J61">
        <f>IF(E61="","",IF(H61&lt;=0,"Pagada",IF(I61=0,"Al día",IF(I61&lt;=15,"1-15",IF(I61&lt;=30,"16-30","Más de 30")))))</f>
        <v/>
      </c>
    </row>
    <row r="62">
      <c r="A62" s="19" t="n"/>
      <c r="B62" s="19" t="n"/>
      <c r="C62" s="17" t="n"/>
      <c r="D62" s="18">
        <f>IF(C62="","",C62+4)</f>
        <v/>
      </c>
      <c r="E62" s="20" t="n"/>
      <c r="F62" s="20" t="n"/>
      <c r="G62" s="17" t="n"/>
      <c r="H62" s="24">
        <f>IF(E62="","",E62-N(F62))</f>
        <v/>
      </c>
      <c r="I62">
        <f>IF(OR(H62="",N(H62)&lt;=0),0,MAX(0,Parametros!$B$2-D62))</f>
        <v/>
      </c>
      <c r="J62">
        <f>IF(E62="","",IF(H62&lt;=0,"Pagada",IF(I62=0,"Al día",IF(I62&lt;=15,"1-15",IF(I62&lt;=30,"16-30","Más de 30")))))</f>
        <v/>
      </c>
    </row>
    <row r="63">
      <c r="A63" s="19" t="n"/>
      <c r="B63" s="19" t="n"/>
      <c r="C63" s="17" t="n"/>
      <c r="D63" s="18">
        <f>IF(C63="","",C63+4)</f>
        <v/>
      </c>
      <c r="E63" s="20" t="n"/>
      <c r="F63" s="20" t="n"/>
      <c r="G63" s="17" t="n"/>
      <c r="H63" s="24">
        <f>IF(E63="","",E63-N(F63))</f>
        <v/>
      </c>
      <c r="I63">
        <f>IF(OR(H63="",N(H63)&lt;=0),0,MAX(0,Parametros!$B$2-D63))</f>
        <v/>
      </c>
      <c r="J63">
        <f>IF(E63="","",IF(H63&lt;=0,"Pagada",IF(I63=0,"Al día",IF(I63&lt;=15,"1-15",IF(I63&lt;=30,"16-30","Más de 30")))))</f>
        <v/>
      </c>
    </row>
    <row r="64">
      <c r="A64" s="19" t="n"/>
      <c r="B64" s="19" t="n"/>
      <c r="C64" s="17" t="n"/>
      <c r="D64" s="18">
        <f>IF(C64="","",C64+4)</f>
        <v/>
      </c>
      <c r="E64" s="20" t="n"/>
      <c r="F64" s="20" t="n"/>
      <c r="G64" s="17" t="n"/>
      <c r="H64" s="24">
        <f>IF(E64="","",E64-N(F64))</f>
        <v/>
      </c>
      <c r="I64">
        <f>IF(OR(H64="",N(H64)&lt;=0),0,MAX(0,Parametros!$B$2-D64))</f>
        <v/>
      </c>
      <c r="J64">
        <f>IF(E64="","",IF(H64&lt;=0,"Pagada",IF(I64=0,"Al día",IF(I64&lt;=15,"1-15",IF(I64&lt;=30,"16-30","Más de 30")))))</f>
        <v/>
      </c>
    </row>
    <row r="65">
      <c r="A65" s="19" t="n"/>
      <c r="B65" s="19" t="n"/>
      <c r="C65" s="17" t="n"/>
      <c r="D65" s="18">
        <f>IF(C65="","",C65+4)</f>
        <v/>
      </c>
      <c r="E65" s="20" t="n"/>
      <c r="F65" s="20" t="n"/>
      <c r="G65" s="17" t="n"/>
      <c r="H65" s="24">
        <f>IF(E65="","",E65-N(F65))</f>
        <v/>
      </c>
      <c r="I65">
        <f>IF(OR(H65="",N(H65)&lt;=0),0,MAX(0,Parametros!$B$2-D65))</f>
        <v/>
      </c>
      <c r="J65">
        <f>IF(E65="","",IF(H65&lt;=0,"Pagada",IF(I65=0,"Al día",IF(I65&lt;=15,"1-15",IF(I65&lt;=30,"16-30","Más de 30")))))</f>
        <v/>
      </c>
    </row>
    <row r="66">
      <c r="A66" s="19" t="n"/>
      <c r="B66" s="19" t="n"/>
      <c r="C66" s="17" t="n"/>
      <c r="D66" s="18">
        <f>IF(C66="","",C66+4)</f>
        <v/>
      </c>
      <c r="E66" s="20" t="n"/>
      <c r="F66" s="20" t="n"/>
      <c r="G66" s="17" t="n"/>
      <c r="H66" s="24">
        <f>IF(E66="","",E66-N(F66))</f>
        <v/>
      </c>
      <c r="I66">
        <f>IF(OR(H66="",N(H66)&lt;=0),0,MAX(0,Parametros!$B$2-D66))</f>
        <v/>
      </c>
      <c r="J66">
        <f>IF(E66="","",IF(H66&lt;=0,"Pagada",IF(I66=0,"Al día",IF(I66&lt;=15,"1-15",IF(I66&lt;=30,"16-30","Más de 30")))))</f>
        <v/>
      </c>
    </row>
    <row r="67">
      <c r="A67" s="19" t="n"/>
      <c r="B67" s="19" t="n"/>
      <c r="C67" s="17" t="n"/>
      <c r="D67" s="18">
        <f>IF(C67="","",C67+4)</f>
        <v/>
      </c>
      <c r="E67" s="20" t="n"/>
      <c r="F67" s="20" t="n"/>
      <c r="G67" s="17" t="n"/>
      <c r="H67" s="24">
        <f>IF(E67="","",E67-N(F67))</f>
        <v/>
      </c>
      <c r="I67">
        <f>IF(OR(H67="",N(H67)&lt;=0),0,MAX(0,Parametros!$B$2-D67))</f>
        <v/>
      </c>
      <c r="J67">
        <f>IF(E67="","",IF(H67&lt;=0,"Pagada",IF(I67=0,"Al día",IF(I67&lt;=15,"1-15",IF(I67&lt;=30,"16-30","Más de 30")))))</f>
        <v/>
      </c>
    </row>
    <row r="68">
      <c r="A68" s="19" t="n"/>
      <c r="B68" s="19" t="n"/>
      <c r="C68" s="17" t="n"/>
      <c r="D68" s="18">
        <f>IF(C68="","",C68+4)</f>
        <v/>
      </c>
      <c r="E68" s="20" t="n"/>
      <c r="F68" s="20" t="n"/>
      <c r="G68" s="17" t="n"/>
      <c r="H68" s="24">
        <f>IF(E68="","",E68-N(F68))</f>
        <v/>
      </c>
      <c r="I68">
        <f>IF(OR(H68="",N(H68)&lt;=0),0,MAX(0,Parametros!$B$2-D68))</f>
        <v/>
      </c>
      <c r="J68">
        <f>IF(E68="","",IF(H68&lt;=0,"Pagada",IF(I68=0,"Al día",IF(I68&lt;=15,"1-15",IF(I68&lt;=30,"16-30","Más de 30")))))</f>
        <v/>
      </c>
    </row>
    <row r="69">
      <c r="A69" s="19" t="n"/>
      <c r="B69" s="19" t="n"/>
      <c r="C69" s="17" t="n"/>
      <c r="D69" s="18">
        <f>IF(C69="","",C69+4)</f>
        <v/>
      </c>
      <c r="E69" s="20" t="n"/>
      <c r="F69" s="20" t="n"/>
      <c r="G69" s="17" t="n"/>
      <c r="H69" s="24">
        <f>IF(E69="","",E69-N(F69))</f>
        <v/>
      </c>
      <c r="I69">
        <f>IF(OR(H69="",N(H69)&lt;=0),0,MAX(0,Parametros!$B$2-D69))</f>
        <v/>
      </c>
      <c r="J69">
        <f>IF(E69="","",IF(H69&lt;=0,"Pagada",IF(I69=0,"Al día",IF(I69&lt;=15,"1-15",IF(I69&lt;=30,"16-30","Más de 30")))))</f>
        <v/>
      </c>
    </row>
    <row r="70">
      <c r="A70" s="19" t="n"/>
      <c r="B70" s="19" t="n"/>
      <c r="C70" s="17" t="n"/>
      <c r="D70" s="18">
        <f>IF(C70="","",C70+4)</f>
        <v/>
      </c>
      <c r="E70" s="20" t="n"/>
      <c r="F70" s="20" t="n"/>
      <c r="G70" s="17" t="n"/>
      <c r="H70" s="24">
        <f>IF(E70="","",E70-N(F70))</f>
        <v/>
      </c>
      <c r="I70">
        <f>IF(OR(H70="",N(H70)&lt;=0),0,MAX(0,Parametros!$B$2-D70))</f>
        <v/>
      </c>
      <c r="J70">
        <f>IF(E70="","",IF(H70&lt;=0,"Pagada",IF(I70=0,"Al día",IF(I70&lt;=15,"1-15",IF(I70&lt;=30,"16-30","Más de 30")))))</f>
        <v/>
      </c>
    </row>
    <row r="71">
      <c r="A71" s="19" t="n"/>
      <c r="B71" s="19" t="n"/>
      <c r="C71" s="17" t="n"/>
      <c r="D71" s="18">
        <f>IF(C71="","",C71+4)</f>
        <v/>
      </c>
      <c r="E71" s="20" t="n"/>
      <c r="F71" s="20" t="n"/>
      <c r="G71" s="17" t="n"/>
      <c r="H71" s="24">
        <f>IF(E71="","",E71-N(F71))</f>
        <v/>
      </c>
      <c r="I71">
        <f>IF(OR(H71="",N(H71)&lt;=0),0,MAX(0,Parametros!$B$2-D71))</f>
        <v/>
      </c>
      <c r="J71">
        <f>IF(E71="","",IF(H71&lt;=0,"Pagada",IF(I71=0,"Al día",IF(I71&lt;=15,"1-15",IF(I71&lt;=30,"16-30","Más de 30")))))</f>
        <v/>
      </c>
    </row>
    <row r="72">
      <c r="A72" s="19" t="n"/>
      <c r="B72" s="19" t="n"/>
      <c r="C72" s="17" t="n"/>
      <c r="D72" s="18">
        <f>IF(C72="","",C72+4)</f>
        <v/>
      </c>
      <c r="E72" s="20" t="n"/>
      <c r="F72" s="20" t="n"/>
      <c r="G72" s="17" t="n"/>
      <c r="H72" s="24">
        <f>IF(E72="","",E72-N(F72))</f>
        <v/>
      </c>
      <c r="I72">
        <f>IF(OR(H72="",N(H72)&lt;=0),0,MAX(0,Parametros!$B$2-D72))</f>
        <v/>
      </c>
      <c r="J72">
        <f>IF(E72="","",IF(H72&lt;=0,"Pagada",IF(I72=0,"Al día",IF(I72&lt;=15,"1-15",IF(I72&lt;=30,"16-30","Más de 30")))))</f>
        <v/>
      </c>
    </row>
    <row r="73">
      <c r="A73" s="19" t="n"/>
      <c r="B73" s="19" t="n"/>
      <c r="C73" s="17" t="n"/>
      <c r="D73" s="18">
        <f>IF(C73="","",C73+4)</f>
        <v/>
      </c>
      <c r="E73" s="20" t="n"/>
      <c r="F73" s="20" t="n"/>
      <c r="G73" s="17" t="n"/>
      <c r="H73" s="24">
        <f>IF(E73="","",E73-N(F73))</f>
        <v/>
      </c>
      <c r="I73">
        <f>IF(OR(H73="",N(H73)&lt;=0),0,MAX(0,Parametros!$B$2-D73))</f>
        <v/>
      </c>
      <c r="J73">
        <f>IF(E73="","",IF(H73&lt;=0,"Pagada",IF(I73=0,"Al día",IF(I73&lt;=15,"1-15",IF(I73&lt;=30,"16-30","Más de 30")))))</f>
        <v/>
      </c>
    </row>
    <row r="74">
      <c r="A74" s="19" t="n"/>
      <c r="B74" s="19" t="n"/>
      <c r="C74" s="17" t="n"/>
      <c r="D74" s="18">
        <f>IF(C74="","",C74+4)</f>
        <v/>
      </c>
      <c r="E74" s="20" t="n"/>
      <c r="F74" s="20" t="n"/>
      <c r="G74" s="17" t="n"/>
      <c r="H74" s="24">
        <f>IF(E74="","",E74-N(F74))</f>
        <v/>
      </c>
      <c r="I74">
        <f>IF(OR(H74="",N(H74)&lt;=0),0,MAX(0,Parametros!$B$2-D74))</f>
        <v/>
      </c>
      <c r="J74">
        <f>IF(E74="","",IF(H74&lt;=0,"Pagada",IF(I74=0,"Al día",IF(I74&lt;=15,"1-15",IF(I74&lt;=30,"16-30","Más de 30")))))</f>
        <v/>
      </c>
    </row>
    <row r="75">
      <c r="A75" s="19" t="n"/>
      <c r="B75" s="19" t="n"/>
      <c r="C75" s="17" t="n"/>
      <c r="D75" s="18">
        <f>IF(C75="","",C75+4)</f>
        <v/>
      </c>
      <c r="E75" s="20" t="n"/>
      <c r="F75" s="20" t="n"/>
      <c r="G75" s="17" t="n"/>
      <c r="H75" s="24">
        <f>IF(E75="","",E75-N(F75))</f>
        <v/>
      </c>
      <c r="I75">
        <f>IF(OR(H75="",N(H75)&lt;=0),0,MAX(0,Parametros!$B$2-D75))</f>
        <v/>
      </c>
      <c r="J75">
        <f>IF(E75="","",IF(H75&lt;=0,"Pagada",IF(I75=0,"Al día",IF(I75&lt;=15,"1-15",IF(I75&lt;=30,"16-30","Más de 30")))))</f>
        <v/>
      </c>
    </row>
    <row r="76">
      <c r="A76" s="19" t="n"/>
      <c r="B76" s="19" t="n"/>
      <c r="C76" s="17" t="n"/>
      <c r="D76" s="18">
        <f>IF(C76="","",C76+4)</f>
        <v/>
      </c>
      <c r="E76" s="20" t="n"/>
      <c r="F76" s="20" t="n"/>
      <c r="G76" s="17" t="n"/>
      <c r="H76" s="24">
        <f>IF(E76="","",E76-N(F76))</f>
        <v/>
      </c>
      <c r="I76">
        <f>IF(OR(H76="",N(H76)&lt;=0),0,MAX(0,Parametros!$B$2-D76))</f>
        <v/>
      </c>
      <c r="J76">
        <f>IF(E76="","",IF(H76&lt;=0,"Pagada",IF(I76=0,"Al día",IF(I76&lt;=15,"1-15",IF(I76&lt;=30,"16-30","Más de 30")))))</f>
        <v/>
      </c>
    </row>
    <row r="77">
      <c r="A77" s="19" t="n"/>
      <c r="B77" s="19" t="n"/>
      <c r="C77" s="17" t="n"/>
      <c r="D77" s="18">
        <f>IF(C77="","",C77+4)</f>
        <v/>
      </c>
      <c r="E77" s="20" t="n"/>
      <c r="F77" s="20" t="n"/>
      <c r="G77" s="17" t="n"/>
      <c r="H77" s="24">
        <f>IF(E77="","",E77-N(F77))</f>
        <v/>
      </c>
      <c r="I77">
        <f>IF(OR(H77="",N(H77)&lt;=0),0,MAX(0,Parametros!$B$2-D77))</f>
        <v/>
      </c>
      <c r="J77">
        <f>IF(E77="","",IF(H77&lt;=0,"Pagada",IF(I77=0,"Al día",IF(I77&lt;=15,"1-15",IF(I77&lt;=30,"16-30","Más de 30")))))</f>
        <v/>
      </c>
    </row>
    <row r="78">
      <c r="A78" s="19" t="n"/>
      <c r="B78" s="19" t="n"/>
      <c r="C78" s="17" t="n"/>
      <c r="D78" s="18">
        <f>IF(C78="","",C78+4)</f>
        <v/>
      </c>
      <c r="E78" s="20" t="n"/>
      <c r="F78" s="20" t="n"/>
      <c r="G78" s="17" t="n"/>
      <c r="H78" s="24">
        <f>IF(E78="","",E78-N(F78))</f>
        <v/>
      </c>
      <c r="I78">
        <f>IF(OR(H78="",N(H78)&lt;=0),0,MAX(0,Parametros!$B$2-D78))</f>
        <v/>
      </c>
      <c r="J78">
        <f>IF(E78="","",IF(H78&lt;=0,"Pagada",IF(I78=0,"Al día",IF(I78&lt;=15,"1-15",IF(I78&lt;=30,"16-30","Más de 30")))))</f>
        <v/>
      </c>
    </row>
    <row r="79">
      <c r="A79" s="19" t="n"/>
      <c r="B79" s="19" t="n"/>
      <c r="C79" s="17" t="n"/>
      <c r="D79" s="18">
        <f>IF(C79="","",C79+4)</f>
        <v/>
      </c>
      <c r="E79" s="20" t="n"/>
      <c r="F79" s="20" t="n"/>
      <c r="G79" s="17" t="n"/>
      <c r="H79" s="24">
        <f>IF(E79="","",E79-N(F79))</f>
        <v/>
      </c>
      <c r="I79">
        <f>IF(OR(H79="",N(H79)&lt;=0),0,MAX(0,Parametros!$B$2-D79))</f>
        <v/>
      </c>
      <c r="J79">
        <f>IF(E79="","",IF(H79&lt;=0,"Pagada",IF(I79=0,"Al día",IF(I79&lt;=15,"1-15",IF(I79&lt;=30,"16-30","Más de 30")))))</f>
        <v/>
      </c>
    </row>
    <row r="80">
      <c r="A80" s="19" t="n"/>
      <c r="B80" s="19" t="n"/>
      <c r="C80" s="17" t="n"/>
      <c r="D80" s="18">
        <f>IF(C80="","",C80+4)</f>
        <v/>
      </c>
      <c r="E80" s="20" t="n"/>
      <c r="F80" s="20" t="n"/>
      <c r="G80" s="17" t="n"/>
      <c r="H80" s="24">
        <f>IF(E80="","",E80-N(F80))</f>
        <v/>
      </c>
      <c r="I80">
        <f>IF(OR(H80="",N(H80)&lt;=0),0,MAX(0,Parametros!$B$2-D80))</f>
        <v/>
      </c>
      <c r="J80">
        <f>IF(E80="","",IF(H80&lt;=0,"Pagada",IF(I80=0,"Al día",IF(I80&lt;=15,"1-15",IF(I80&lt;=30,"16-30","Más de 30")))))</f>
        <v/>
      </c>
    </row>
    <row r="81">
      <c r="A81" s="19" t="n"/>
      <c r="B81" s="19" t="n"/>
      <c r="C81" s="17" t="n"/>
      <c r="D81" s="18">
        <f>IF(C81="","",C81+4)</f>
        <v/>
      </c>
      <c r="E81" s="20" t="n"/>
      <c r="F81" s="20" t="n"/>
      <c r="G81" s="17" t="n"/>
      <c r="H81" s="24">
        <f>IF(E81="","",E81-N(F81))</f>
        <v/>
      </c>
      <c r="I81">
        <f>IF(OR(H81="",N(H81)&lt;=0),0,MAX(0,Parametros!$B$2-D81))</f>
        <v/>
      </c>
      <c r="J81">
        <f>IF(E81="","",IF(H81&lt;=0,"Pagada",IF(I81=0,"Al día",IF(I81&lt;=15,"1-15",IF(I81&lt;=30,"16-30","Más de 30")))))</f>
        <v/>
      </c>
    </row>
    <row r="82">
      <c r="A82" s="19" t="n"/>
      <c r="B82" s="19" t="n"/>
      <c r="C82" s="17" t="n"/>
      <c r="D82" s="18">
        <f>IF(C82="","",C82+4)</f>
        <v/>
      </c>
      <c r="E82" s="20" t="n"/>
      <c r="F82" s="20" t="n"/>
      <c r="G82" s="17" t="n"/>
      <c r="H82" s="24">
        <f>IF(E82="","",E82-N(F82))</f>
        <v/>
      </c>
      <c r="I82">
        <f>IF(OR(H82="",N(H82)&lt;=0),0,MAX(0,Parametros!$B$2-D82))</f>
        <v/>
      </c>
      <c r="J82">
        <f>IF(E82="","",IF(H82&lt;=0,"Pagada",IF(I82=0,"Al día",IF(I82&lt;=15,"1-15",IF(I82&lt;=30,"16-30","Más de 30")))))</f>
        <v/>
      </c>
    </row>
    <row r="83">
      <c r="A83" s="19" t="n"/>
      <c r="B83" s="19" t="n"/>
      <c r="C83" s="17" t="n"/>
      <c r="D83" s="18">
        <f>IF(C83="","",C83+4)</f>
        <v/>
      </c>
      <c r="E83" s="20" t="n"/>
      <c r="F83" s="20" t="n"/>
      <c r="G83" s="17" t="n"/>
      <c r="H83" s="24">
        <f>IF(E83="","",E83-N(F83))</f>
        <v/>
      </c>
      <c r="I83">
        <f>IF(OR(H83="",N(H83)&lt;=0),0,MAX(0,Parametros!$B$2-D83))</f>
        <v/>
      </c>
      <c r="J83">
        <f>IF(E83="","",IF(H83&lt;=0,"Pagada",IF(I83=0,"Al día",IF(I83&lt;=15,"1-15",IF(I83&lt;=30,"16-30","Más de 30")))))</f>
        <v/>
      </c>
    </row>
    <row r="84">
      <c r="A84" s="19" t="n"/>
      <c r="B84" s="19" t="n"/>
      <c r="C84" s="17" t="n"/>
      <c r="D84" s="18">
        <f>IF(C84="","",C84+4)</f>
        <v/>
      </c>
      <c r="E84" s="20" t="n"/>
      <c r="F84" s="20" t="n"/>
      <c r="G84" s="17" t="n"/>
      <c r="H84" s="24">
        <f>IF(E84="","",E84-N(F84))</f>
        <v/>
      </c>
      <c r="I84">
        <f>IF(OR(H84="",N(H84)&lt;=0),0,MAX(0,Parametros!$B$2-D84))</f>
        <v/>
      </c>
      <c r="J84">
        <f>IF(E84="","",IF(H84&lt;=0,"Pagada",IF(I84=0,"Al día",IF(I84&lt;=15,"1-15",IF(I84&lt;=30,"16-30","Más de 30")))))</f>
        <v/>
      </c>
    </row>
    <row r="85">
      <c r="A85" s="19" t="n"/>
      <c r="B85" s="19" t="n"/>
      <c r="C85" s="17" t="n"/>
      <c r="D85" s="18">
        <f>IF(C85="","",C85+4)</f>
        <v/>
      </c>
      <c r="E85" s="20" t="n"/>
      <c r="F85" s="20" t="n"/>
      <c r="G85" s="17" t="n"/>
      <c r="H85" s="24">
        <f>IF(E85="","",E85-N(F85))</f>
        <v/>
      </c>
      <c r="I85">
        <f>IF(OR(H85="",N(H85)&lt;=0),0,MAX(0,Parametros!$B$2-D85))</f>
        <v/>
      </c>
      <c r="J85">
        <f>IF(E85="","",IF(H85&lt;=0,"Pagada",IF(I85=0,"Al día",IF(I85&lt;=15,"1-15",IF(I85&lt;=30,"16-30","Más de 30")))))</f>
        <v/>
      </c>
    </row>
    <row r="86">
      <c r="A86" s="19" t="n"/>
      <c r="B86" s="19" t="n"/>
      <c r="C86" s="17" t="n"/>
      <c r="D86" s="18">
        <f>IF(C86="","",C86+4)</f>
        <v/>
      </c>
      <c r="E86" s="20" t="n"/>
      <c r="F86" s="20" t="n"/>
      <c r="G86" s="17" t="n"/>
      <c r="H86" s="24">
        <f>IF(E86="","",E86-N(F86))</f>
        <v/>
      </c>
      <c r="I86">
        <f>IF(OR(H86="",N(H86)&lt;=0),0,MAX(0,Parametros!$B$2-D86))</f>
        <v/>
      </c>
      <c r="J86">
        <f>IF(E86="","",IF(H86&lt;=0,"Pagada",IF(I86=0,"Al día",IF(I86&lt;=15,"1-15",IF(I86&lt;=30,"16-30","Más de 30")))))</f>
        <v/>
      </c>
    </row>
    <row r="87">
      <c r="A87" s="19" t="n"/>
      <c r="B87" s="19" t="n"/>
      <c r="C87" s="17" t="n"/>
      <c r="D87" s="18">
        <f>IF(C87="","",C87+4)</f>
        <v/>
      </c>
      <c r="E87" s="20" t="n"/>
      <c r="F87" s="20" t="n"/>
      <c r="G87" s="17" t="n"/>
      <c r="H87" s="24">
        <f>IF(E87="","",E87-N(F87))</f>
        <v/>
      </c>
      <c r="I87">
        <f>IF(OR(H87="",N(H87)&lt;=0),0,MAX(0,Parametros!$B$2-D87))</f>
        <v/>
      </c>
      <c r="J87">
        <f>IF(E87="","",IF(H87&lt;=0,"Pagada",IF(I87=0,"Al día",IF(I87&lt;=15,"1-15",IF(I87&lt;=30,"16-30","Más de 30")))))</f>
        <v/>
      </c>
    </row>
    <row r="88">
      <c r="A88" s="19" t="n"/>
      <c r="B88" s="19" t="n"/>
      <c r="C88" s="17" t="n"/>
      <c r="D88" s="18">
        <f>IF(C88="","",C88+4)</f>
        <v/>
      </c>
      <c r="E88" s="20" t="n"/>
      <c r="F88" s="20" t="n"/>
      <c r="G88" s="17" t="n"/>
      <c r="H88" s="24">
        <f>IF(E88="","",E88-N(F88))</f>
        <v/>
      </c>
      <c r="I88">
        <f>IF(OR(H88="",N(H88)&lt;=0),0,MAX(0,Parametros!$B$2-D88))</f>
        <v/>
      </c>
      <c r="J88">
        <f>IF(E88="","",IF(H88&lt;=0,"Pagada",IF(I88=0,"Al día",IF(I88&lt;=15,"1-15",IF(I88&lt;=30,"16-30","Más de 30")))))</f>
        <v/>
      </c>
    </row>
    <row r="89">
      <c r="A89" s="19" t="n"/>
      <c r="B89" s="19" t="n"/>
      <c r="C89" s="17" t="n"/>
      <c r="D89" s="18">
        <f>IF(C89="","",C89+4)</f>
        <v/>
      </c>
      <c r="E89" s="20" t="n"/>
      <c r="F89" s="20" t="n"/>
      <c r="G89" s="17" t="n"/>
      <c r="H89" s="24">
        <f>IF(E89="","",E89-N(F89))</f>
        <v/>
      </c>
      <c r="I89">
        <f>IF(OR(H89="",N(H89)&lt;=0),0,MAX(0,Parametros!$B$2-D89))</f>
        <v/>
      </c>
      <c r="J89">
        <f>IF(E89="","",IF(H89&lt;=0,"Pagada",IF(I89=0,"Al día",IF(I89&lt;=15,"1-15",IF(I89&lt;=30,"16-30","Más de 30")))))</f>
        <v/>
      </c>
    </row>
    <row r="90">
      <c r="A90" s="19" t="n"/>
      <c r="B90" s="19" t="n"/>
      <c r="C90" s="17" t="n"/>
      <c r="D90" s="18">
        <f>IF(C90="","",C90+4)</f>
        <v/>
      </c>
      <c r="E90" s="20" t="n"/>
      <c r="F90" s="20" t="n"/>
      <c r="G90" s="17" t="n"/>
      <c r="H90" s="24">
        <f>IF(E90="","",E90-N(F90))</f>
        <v/>
      </c>
      <c r="I90">
        <f>IF(OR(H90="",N(H90)&lt;=0),0,MAX(0,Parametros!$B$2-D90))</f>
        <v/>
      </c>
      <c r="J90">
        <f>IF(E90="","",IF(H90&lt;=0,"Pagada",IF(I90=0,"Al día",IF(I90&lt;=15,"1-15",IF(I90&lt;=30,"16-30","Más de 30")))))</f>
        <v/>
      </c>
    </row>
    <row r="91">
      <c r="A91" s="19" t="n"/>
      <c r="B91" s="19" t="n"/>
      <c r="C91" s="17" t="n"/>
      <c r="D91" s="18">
        <f>IF(C91="","",C91+4)</f>
        <v/>
      </c>
      <c r="E91" s="20" t="n"/>
      <c r="F91" s="20" t="n"/>
      <c r="G91" s="17" t="n"/>
      <c r="H91" s="24">
        <f>IF(E91="","",E91-N(F91))</f>
        <v/>
      </c>
      <c r="I91">
        <f>IF(OR(H91="",N(H91)&lt;=0),0,MAX(0,Parametros!$B$2-D91))</f>
        <v/>
      </c>
      <c r="J91">
        <f>IF(E91="","",IF(H91&lt;=0,"Pagada",IF(I91=0,"Al día",IF(I91&lt;=15,"1-15",IF(I91&lt;=30,"16-30","Más de 30")))))</f>
        <v/>
      </c>
    </row>
    <row r="92">
      <c r="A92" s="19" t="n"/>
      <c r="B92" s="19" t="n"/>
      <c r="C92" s="17" t="n"/>
      <c r="D92" s="18">
        <f>IF(C92="","",C92+4)</f>
        <v/>
      </c>
      <c r="E92" s="20" t="n"/>
      <c r="F92" s="20" t="n"/>
      <c r="G92" s="17" t="n"/>
      <c r="H92" s="24">
        <f>IF(E92="","",E92-N(F92))</f>
        <v/>
      </c>
      <c r="I92">
        <f>IF(OR(H92="",N(H92)&lt;=0),0,MAX(0,Parametros!$B$2-D92))</f>
        <v/>
      </c>
      <c r="J92">
        <f>IF(E92="","",IF(H92&lt;=0,"Pagada",IF(I92=0,"Al día",IF(I92&lt;=15,"1-15",IF(I92&lt;=30,"16-30","Más de 30")))))</f>
        <v/>
      </c>
    </row>
    <row r="93">
      <c r="A93" s="19" t="n"/>
      <c r="B93" s="19" t="n"/>
      <c r="C93" s="17" t="n"/>
      <c r="D93" s="18">
        <f>IF(C93="","",C93+4)</f>
        <v/>
      </c>
      <c r="E93" s="20" t="n"/>
      <c r="F93" s="20" t="n"/>
      <c r="G93" s="17" t="n"/>
      <c r="H93" s="24">
        <f>IF(E93="","",E93-N(F93))</f>
        <v/>
      </c>
      <c r="I93">
        <f>IF(OR(H93="",N(H93)&lt;=0),0,MAX(0,Parametros!$B$2-D93))</f>
        <v/>
      </c>
      <c r="J93">
        <f>IF(E93="","",IF(H93&lt;=0,"Pagada",IF(I93=0,"Al día",IF(I93&lt;=15,"1-15",IF(I93&lt;=30,"16-30","Más de 30")))))</f>
        <v/>
      </c>
    </row>
    <row r="94">
      <c r="A94" s="19" t="n"/>
      <c r="B94" s="19" t="n"/>
      <c r="C94" s="17" t="n"/>
      <c r="D94" s="18">
        <f>IF(C94="","",C94+4)</f>
        <v/>
      </c>
      <c r="E94" s="20" t="n"/>
      <c r="F94" s="20" t="n"/>
      <c r="G94" s="17" t="n"/>
      <c r="H94" s="24">
        <f>IF(E94="","",E94-N(F94))</f>
        <v/>
      </c>
      <c r="I94">
        <f>IF(OR(H94="",N(H94)&lt;=0),0,MAX(0,Parametros!$B$2-D94))</f>
        <v/>
      </c>
      <c r="J94">
        <f>IF(E94="","",IF(H94&lt;=0,"Pagada",IF(I94=0,"Al día",IF(I94&lt;=15,"1-15",IF(I94&lt;=30,"16-30","Más de 30")))))</f>
        <v/>
      </c>
    </row>
    <row r="95">
      <c r="A95" s="19" t="n"/>
      <c r="B95" s="19" t="n"/>
      <c r="C95" s="17" t="n"/>
      <c r="D95" s="18">
        <f>IF(C95="","",C95+4)</f>
        <v/>
      </c>
      <c r="E95" s="20" t="n"/>
      <c r="F95" s="20" t="n"/>
      <c r="G95" s="17" t="n"/>
      <c r="H95" s="24">
        <f>IF(E95="","",E95-N(F95))</f>
        <v/>
      </c>
      <c r="I95">
        <f>IF(OR(H95="",N(H95)&lt;=0),0,MAX(0,Parametros!$B$2-D95))</f>
        <v/>
      </c>
      <c r="J95">
        <f>IF(E95="","",IF(H95&lt;=0,"Pagada",IF(I95=0,"Al día",IF(I95&lt;=15,"1-15",IF(I95&lt;=30,"16-30","Más de 30")))))</f>
        <v/>
      </c>
    </row>
    <row r="96">
      <c r="A96" s="19" t="n"/>
      <c r="B96" s="19" t="n"/>
      <c r="C96" s="17" t="n"/>
      <c r="D96" s="18">
        <f>IF(C96="","",C96+4)</f>
        <v/>
      </c>
      <c r="E96" s="20" t="n"/>
      <c r="F96" s="20" t="n"/>
      <c r="G96" s="17" t="n"/>
      <c r="H96" s="24">
        <f>IF(E96="","",E96-N(F96))</f>
        <v/>
      </c>
      <c r="I96">
        <f>IF(OR(H96="",N(H96)&lt;=0),0,MAX(0,Parametros!$B$2-D96))</f>
        <v/>
      </c>
      <c r="J96">
        <f>IF(E96="","",IF(H96&lt;=0,"Pagada",IF(I96=0,"Al día",IF(I96&lt;=15,"1-15",IF(I96&lt;=30,"16-30","Más de 30")))))</f>
        <v/>
      </c>
    </row>
    <row r="97">
      <c r="A97" s="19" t="n"/>
      <c r="B97" s="19" t="n"/>
      <c r="C97" s="17" t="n"/>
      <c r="D97" s="18">
        <f>IF(C97="","",C97+4)</f>
        <v/>
      </c>
      <c r="E97" s="20" t="n"/>
      <c r="F97" s="20" t="n"/>
      <c r="G97" s="17" t="n"/>
      <c r="H97" s="24">
        <f>IF(E97="","",E97-N(F97))</f>
        <v/>
      </c>
      <c r="I97">
        <f>IF(OR(H97="",N(H97)&lt;=0),0,MAX(0,Parametros!$B$2-D97))</f>
        <v/>
      </c>
      <c r="J97">
        <f>IF(E97="","",IF(H97&lt;=0,"Pagada",IF(I97=0,"Al día",IF(I97&lt;=15,"1-15",IF(I97&lt;=30,"16-30","Más de 30")))))</f>
        <v/>
      </c>
    </row>
    <row r="98">
      <c r="A98" s="19" t="n"/>
      <c r="B98" s="19" t="n"/>
      <c r="C98" s="17" t="n"/>
      <c r="D98" s="18">
        <f>IF(C98="","",C98+4)</f>
        <v/>
      </c>
      <c r="E98" s="20" t="n"/>
      <c r="F98" s="20" t="n"/>
      <c r="G98" s="17" t="n"/>
      <c r="H98" s="24">
        <f>IF(E98="","",E98-N(F98))</f>
        <v/>
      </c>
      <c r="I98">
        <f>IF(OR(H98="",N(H98)&lt;=0),0,MAX(0,Parametros!$B$2-D98))</f>
        <v/>
      </c>
      <c r="J98">
        <f>IF(E98="","",IF(H98&lt;=0,"Pagada",IF(I98=0,"Al día",IF(I98&lt;=15,"1-15",IF(I98&lt;=30,"16-30","Más de 30")))))</f>
        <v/>
      </c>
    </row>
    <row r="99">
      <c r="A99" s="19" t="n"/>
      <c r="B99" s="19" t="n"/>
      <c r="C99" s="17" t="n"/>
      <c r="D99" s="18">
        <f>IF(C99="","",C99+4)</f>
        <v/>
      </c>
      <c r="E99" s="20" t="n"/>
      <c r="F99" s="20" t="n"/>
      <c r="G99" s="17" t="n"/>
      <c r="H99" s="24">
        <f>IF(E99="","",E99-N(F99))</f>
        <v/>
      </c>
      <c r="I99">
        <f>IF(OR(H99="",N(H99)&lt;=0),0,MAX(0,Parametros!$B$2-D99))</f>
        <v/>
      </c>
      <c r="J99">
        <f>IF(E99="","",IF(H99&lt;=0,"Pagada",IF(I99=0,"Al día",IF(I99&lt;=15,"1-15",IF(I99&lt;=30,"16-30","Más de 30")))))</f>
        <v/>
      </c>
    </row>
    <row r="100">
      <c r="A100" s="19" t="n"/>
      <c r="B100" s="19" t="n"/>
      <c r="C100" s="17" t="n"/>
      <c r="D100" s="18">
        <f>IF(C100="","",C100+4)</f>
        <v/>
      </c>
      <c r="E100" s="20" t="n"/>
      <c r="F100" s="20" t="n"/>
      <c r="G100" s="17" t="n"/>
      <c r="H100" s="24">
        <f>IF(E100="","",E100-N(F100))</f>
        <v/>
      </c>
      <c r="I100">
        <f>IF(OR(H100="",N(H100)&lt;=0),0,MAX(0,Parametros!$B$2-D100))</f>
        <v/>
      </c>
      <c r="J100">
        <f>IF(E100="","",IF(H100&lt;=0,"Pagada",IF(I100=0,"Al día",IF(I100&lt;=15,"1-15",IF(I100&lt;=30,"16-30","Más de 30")))))</f>
        <v/>
      </c>
    </row>
    <row r="101">
      <c r="A101" s="19" t="n"/>
      <c r="B101" s="19" t="n"/>
      <c r="C101" s="17" t="n"/>
      <c r="D101" s="18">
        <f>IF(C101="","",C101+4)</f>
        <v/>
      </c>
      <c r="E101" s="20" t="n"/>
      <c r="F101" s="20" t="n"/>
      <c r="G101" s="17" t="n"/>
      <c r="H101" s="24">
        <f>IF(E101="","",E101-N(F101))</f>
        <v/>
      </c>
      <c r="I101">
        <f>IF(OR(H101="",N(H101)&lt;=0),0,MAX(0,Parametros!$B$2-D101))</f>
        <v/>
      </c>
      <c r="J101">
        <f>IF(E101="","",IF(H101&lt;=0,"Pagada",IF(I101=0,"Al día",IF(I101&lt;=15,"1-15",IF(I101&lt;=30,"16-30","Más de 30")))))</f>
        <v/>
      </c>
    </row>
    <row r="102">
      <c r="A102" s="19" t="n"/>
      <c r="B102" s="19" t="n"/>
      <c r="C102" s="17" t="n"/>
      <c r="D102" s="18">
        <f>IF(C102="","",C102+4)</f>
        <v/>
      </c>
      <c r="E102" s="20" t="n"/>
      <c r="F102" s="20" t="n"/>
      <c r="G102" s="17" t="n"/>
      <c r="H102" s="24">
        <f>IF(E102="","",E102-N(F102))</f>
        <v/>
      </c>
      <c r="I102">
        <f>IF(OR(H102="",N(H102)&lt;=0),0,MAX(0,Parametros!$B$2-D102))</f>
        <v/>
      </c>
      <c r="J102">
        <f>IF(E102="","",IF(H102&lt;=0,"Pagada",IF(I102=0,"Al día",IF(I102&lt;=15,"1-15",IF(I102&lt;=30,"16-30","Más de 30")))))</f>
        <v/>
      </c>
    </row>
    <row r="103">
      <c r="A103" s="19" t="n"/>
      <c r="B103" s="19" t="n"/>
      <c r="C103" s="17" t="n"/>
      <c r="D103" s="18">
        <f>IF(C103="","",C103+4)</f>
        <v/>
      </c>
      <c r="E103" s="20" t="n"/>
      <c r="F103" s="20" t="n"/>
      <c r="G103" s="17" t="n"/>
      <c r="H103" s="24">
        <f>IF(E103="","",E103-N(F103))</f>
        <v/>
      </c>
      <c r="I103">
        <f>IF(OR(H103="",N(H103)&lt;=0),0,MAX(0,Parametros!$B$2-D103))</f>
        <v/>
      </c>
      <c r="J103">
        <f>IF(E103="","",IF(H103&lt;=0,"Pagada",IF(I103=0,"Al día",IF(I103&lt;=15,"1-15",IF(I103&lt;=30,"16-30","Más de 30")))))</f>
        <v/>
      </c>
    </row>
    <row r="104">
      <c r="A104" s="19" t="n"/>
      <c r="B104" s="19" t="n"/>
      <c r="C104" s="17" t="n"/>
      <c r="D104" s="18">
        <f>IF(C104="","",C104+4)</f>
        <v/>
      </c>
      <c r="E104" s="20" t="n"/>
      <c r="F104" s="20" t="n"/>
      <c r="G104" s="17" t="n"/>
      <c r="H104" s="24">
        <f>IF(E104="","",E104-N(F104))</f>
        <v/>
      </c>
      <c r="I104">
        <f>IF(OR(H104="",N(H104)&lt;=0),0,MAX(0,Parametros!$B$2-D104))</f>
        <v/>
      </c>
      <c r="J104">
        <f>IF(E104="","",IF(H104&lt;=0,"Pagada",IF(I104=0,"Al día",IF(I104&lt;=15,"1-15",IF(I104&lt;=30,"16-30","Más de 30")))))</f>
        <v/>
      </c>
    </row>
    <row r="105">
      <c r="A105" s="19" t="n"/>
      <c r="B105" s="19" t="n"/>
      <c r="C105" s="17" t="n"/>
      <c r="D105" s="18">
        <f>IF(C105="","",C105+4)</f>
        <v/>
      </c>
      <c r="E105" s="20" t="n"/>
      <c r="F105" s="20" t="n"/>
      <c r="G105" s="17" t="n"/>
      <c r="H105" s="24">
        <f>IF(E105="","",E105-N(F105))</f>
        <v/>
      </c>
      <c r="I105">
        <f>IF(OR(H105="",N(H105)&lt;=0),0,MAX(0,Parametros!$B$2-D105))</f>
        <v/>
      </c>
      <c r="J105">
        <f>IF(E105="","",IF(H105&lt;=0,"Pagada",IF(I105=0,"Al día",IF(I105&lt;=15,"1-15",IF(I105&lt;=30,"16-30","Más de 30")))))</f>
        <v/>
      </c>
    </row>
    <row r="106">
      <c r="A106" s="19" t="n"/>
      <c r="B106" s="19" t="n"/>
      <c r="C106" s="17" t="n"/>
      <c r="D106" s="18">
        <f>IF(C106="","",C106+4)</f>
        <v/>
      </c>
      <c r="E106" s="20" t="n"/>
      <c r="F106" s="20" t="n"/>
      <c r="G106" s="17" t="n"/>
      <c r="H106" s="24">
        <f>IF(E106="","",E106-N(F106))</f>
        <v/>
      </c>
      <c r="I106">
        <f>IF(OR(H106="",N(H106)&lt;=0),0,MAX(0,Parametros!$B$2-D106))</f>
        <v/>
      </c>
      <c r="J106">
        <f>IF(E106="","",IF(H106&lt;=0,"Pagada",IF(I106=0,"Al día",IF(I106&lt;=15,"1-15",IF(I106&lt;=30,"16-30","Más de 30")))))</f>
        <v/>
      </c>
    </row>
    <row r="107">
      <c r="A107" s="19" t="n"/>
      <c r="B107" s="19" t="n"/>
      <c r="C107" s="17" t="n"/>
      <c r="D107" s="18">
        <f>IF(C107="","",C107+4)</f>
        <v/>
      </c>
      <c r="E107" s="20" t="n"/>
      <c r="F107" s="20" t="n"/>
      <c r="G107" s="17" t="n"/>
      <c r="H107" s="24">
        <f>IF(E107="","",E107-N(F107))</f>
        <v/>
      </c>
      <c r="I107">
        <f>IF(OR(H107="",N(H107)&lt;=0),0,MAX(0,Parametros!$B$2-D107))</f>
        <v/>
      </c>
      <c r="J107">
        <f>IF(E107="","",IF(H107&lt;=0,"Pagada",IF(I107=0,"Al día",IF(I107&lt;=15,"1-15",IF(I107&lt;=30,"16-30","Más de 30")))))</f>
        <v/>
      </c>
    </row>
    <row r="108">
      <c r="A108" s="19" t="n"/>
      <c r="B108" s="19" t="n"/>
      <c r="C108" s="17" t="n"/>
      <c r="D108" s="18">
        <f>IF(C108="","",C108+4)</f>
        <v/>
      </c>
      <c r="E108" s="20" t="n"/>
      <c r="F108" s="20" t="n"/>
      <c r="G108" s="17" t="n"/>
      <c r="H108" s="24">
        <f>IF(E108="","",E108-N(F108))</f>
        <v/>
      </c>
      <c r="I108">
        <f>IF(OR(H108="",N(H108)&lt;=0),0,MAX(0,Parametros!$B$2-D108))</f>
        <v/>
      </c>
      <c r="J108">
        <f>IF(E108="","",IF(H108&lt;=0,"Pagada",IF(I108=0,"Al día",IF(I108&lt;=15,"1-15",IF(I108&lt;=30,"16-30","Más de 30")))))</f>
        <v/>
      </c>
    </row>
    <row r="109">
      <c r="A109" s="19" t="n"/>
      <c r="B109" s="19" t="n"/>
      <c r="C109" s="17" t="n"/>
      <c r="D109" s="18">
        <f>IF(C109="","",C109+4)</f>
        <v/>
      </c>
      <c r="E109" s="20" t="n"/>
      <c r="F109" s="20" t="n"/>
      <c r="G109" s="17" t="n"/>
      <c r="H109" s="24">
        <f>IF(E109="","",E109-N(F109))</f>
        <v/>
      </c>
      <c r="I109">
        <f>IF(OR(H109="",N(H109)&lt;=0),0,MAX(0,Parametros!$B$2-D109))</f>
        <v/>
      </c>
      <c r="J109">
        <f>IF(E109="","",IF(H109&lt;=0,"Pagada",IF(I109=0,"Al día",IF(I109&lt;=15,"1-15",IF(I109&lt;=30,"16-30","Más de 30")))))</f>
        <v/>
      </c>
    </row>
    <row r="110">
      <c r="A110" s="19" t="n"/>
      <c r="B110" s="19" t="n"/>
      <c r="C110" s="17" t="n"/>
      <c r="D110" s="18">
        <f>IF(C110="","",C110+4)</f>
        <v/>
      </c>
      <c r="E110" s="20" t="n"/>
      <c r="F110" s="20" t="n"/>
      <c r="G110" s="17" t="n"/>
      <c r="H110" s="24">
        <f>IF(E110="","",E110-N(F110))</f>
        <v/>
      </c>
      <c r="I110">
        <f>IF(OR(H110="",N(H110)&lt;=0),0,MAX(0,Parametros!$B$2-D110))</f>
        <v/>
      </c>
      <c r="J110">
        <f>IF(E110="","",IF(H110&lt;=0,"Pagada",IF(I110=0,"Al día",IF(I110&lt;=15,"1-15",IF(I110&lt;=30,"16-30","Más de 30")))))</f>
        <v/>
      </c>
    </row>
    <row r="111">
      <c r="A111" s="19" t="n"/>
      <c r="B111" s="19" t="n"/>
      <c r="C111" s="17" t="n"/>
      <c r="D111" s="18">
        <f>IF(C111="","",C111+4)</f>
        <v/>
      </c>
      <c r="E111" s="20" t="n"/>
      <c r="F111" s="20" t="n"/>
      <c r="G111" s="17" t="n"/>
      <c r="H111" s="24">
        <f>IF(E111="","",E111-N(F111))</f>
        <v/>
      </c>
      <c r="I111">
        <f>IF(OR(H111="",N(H111)&lt;=0),0,MAX(0,Parametros!$B$2-D111))</f>
        <v/>
      </c>
      <c r="J111">
        <f>IF(E111="","",IF(H111&lt;=0,"Pagada",IF(I111=0,"Al día",IF(I111&lt;=15,"1-15",IF(I111&lt;=30,"16-30","Más de 30")))))</f>
        <v/>
      </c>
    </row>
    <row r="112">
      <c r="A112" s="19" t="n"/>
      <c r="B112" s="19" t="n"/>
      <c r="C112" s="17" t="n"/>
      <c r="D112" s="18">
        <f>IF(C112="","",C112+4)</f>
        <v/>
      </c>
      <c r="E112" s="20" t="n"/>
      <c r="F112" s="20" t="n"/>
      <c r="G112" s="17" t="n"/>
      <c r="H112" s="24">
        <f>IF(E112="","",E112-N(F112))</f>
        <v/>
      </c>
      <c r="I112">
        <f>IF(OR(H112="",N(H112)&lt;=0),0,MAX(0,Parametros!$B$2-D112))</f>
        <v/>
      </c>
      <c r="J112">
        <f>IF(E112="","",IF(H112&lt;=0,"Pagada",IF(I112=0,"Al día",IF(I112&lt;=15,"1-15",IF(I112&lt;=30,"16-30","Más de 30")))))</f>
        <v/>
      </c>
    </row>
    <row r="113">
      <c r="A113" s="19" t="n"/>
      <c r="B113" s="19" t="n"/>
      <c r="C113" s="17" t="n"/>
      <c r="D113" s="18">
        <f>IF(C113="","",C113+4)</f>
        <v/>
      </c>
      <c r="E113" s="20" t="n"/>
      <c r="F113" s="20" t="n"/>
      <c r="G113" s="17" t="n"/>
      <c r="H113" s="24">
        <f>IF(E113="","",E113-N(F113))</f>
        <v/>
      </c>
      <c r="I113">
        <f>IF(OR(H113="",N(H113)&lt;=0),0,MAX(0,Parametros!$B$2-D113))</f>
        <v/>
      </c>
      <c r="J113">
        <f>IF(E113="","",IF(H113&lt;=0,"Pagada",IF(I113=0,"Al día",IF(I113&lt;=15,"1-15",IF(I113&lt;=30,"16-30","Más de 30")))))</f>
        <v/>
      </c>
    </row>
    <row r="114">
      <c r="A114" s="19" t="n"/>
      <c r="B114" s="19" t="n"/>
      <c r="C114" s="17" t="n"/>
      <c r="D114" s="18">
        <f>IF(C114="","",C114+4)</f>
        <v/>
      </c>
      <c r="E114" s="20" t="n"/>
      <c r="F114" s="20" t="n"/>
      <c r="G114" s="17" t="n"/>
      <c r="H114" s="24">
        <f>IF(E114="","",E114-N(F114))</f>
        <v/>
      </c>
      <c r="I114">
        <f>IF(OR(H114="",N(H114)&lt;=0),0,MAX(0,Parametros!$B$2-D114))</f>
        <v/>
      </c>
      <c r="J114">
        <f>IF(E114="","",IF(H114&lt;=0,"Pagada",IF(I114=0,"Al día",IF(I114&lt;=15,"1-15",IF(I114&lt;=30,"16-30","Más de 30")))))</f>
        <v/>
      </c>
    </row>
    <row r="115">
      <c r="A115" s="19" t="n"/>
      <c r="B115" s="19" t="n"/>
      <c r="C115" s="17" t="n"/>
      <c r="D115" s="18">
        <f>IF(C115="","",C115+4)</f>
        <v/>
      </c>
      <c r="E115" s="20" t="n"/>
      <c r="F115" s="20" t="n"/>
      <c r="G115" s="17" t="n"/>
      <c r="H115" s="24">
        <f>IF(E115="","",E115-N(F115))</f>
        <v/>
      </c>
      <c r="I115">
        <f>IF(OR(H115="",N(H115)&lt;=0),0,MAX(0,Parametros!$B$2-D115))</f>
        <v/>
      </c>
      <c r="J115">
        <f>IF(E115="","",IF(H115&lt;=0,"Pagada",IF(I115=0,"Al día",IF(I115&lt;=15,"1-15",IF(I115&lt;=30,"16-30","Más de 30")))))</f>
        <v/>
      </c>
    </row>
    <row r="116">
      <c r="A116" s="19" t="n"/>
      <c r="B116" s="19" t="n"/>
      <c r="C116" s="17" t="n"/>
      <c r="D116" s="18">
        <f>IF(C116="","",C116+4)</f>
        <v/>
      </c>
      <c r="E116" s="20" t="n"/>
      <c r="F116" s="20" t="n"/>
      <c r="G116" s="17" t="n"/>
      <c r="H116" s="24">
        <f>IF(E116="","",E116-N(F116))</f>
        <v/>
      </c>
      <c r="I116">
        <f>IF(OR(H116="",N(H116)&lt;=0),0,MAX(0,Parametros!$B$2-D116))</f>
        <v/>
      </c>
      <c r="J116">
        <f>IF(E116="","",IF(H116&lt;=0,"Pagada",IF(I116=0,"Al día",IF(I116&lt;=15,"1-15",IF(I116&lt;=30,"16-30","Más de 30")))))</f>
        <v/>
      </c>
    </row>
    <row r="117">
      <c r="A117" s="19" t="n"/>
      <c r="B117" s="19" t="n"/>
      <c r="C117" s="17" t="n"/>
      <c r="D117" s="18">
        <f>IF(C117="","",C117+4)</f>
        <v/>
      </c>
      <c r="E117" s="20" t="n"/>
      <c r="F117" s="20" t="n"/>
      <c r="G117" s="17" t="n"/>
      <c r="H117" s="24">
        <f>IF(E117="","",E117-N(F117))</f>
        <v/>
      </c>
      <c r="I117">
        <f>IF(OR(H117="",N(H117)&lt;=0),0,MAX(0,Parametros!$B$2-D117))</f>
        <v/>
      </c>
      <c r="J117">
        <f>IF(E117="","",IF(H117&lt;=0,"Pagada",IF(I117=0,"Al día",IF(I117&lt;=15,"1-15",IF(I117&lt;=30,"16-30","Más de 30")))))</f>
        <v/>
      </c>
    </row>
    <row r="118">
      <c r="A118" s="19" t="n"/>
      <c r="B118" s="19" t="n"/>
      <c r="C118" s="17" t="n"/>
      <c r="D118" s="18">
        <f>IF(C118="","",C118+4)</f>
        <v/>
      </c>
      <c r="E118" s="20" t="n"/>
      <c r="F118" s="20" t="n"/>
      <c r="G118" s="17" t="n"/>
      <c r="H118" s="24">
        <f>IF(E118="","",E118-N(F118))</f>
        <v/>
      </c>
      <c r="I118">
        <f>IF(OR(H118="",N(H118)&lt;=0),0,MAX(0,Parametros!$B$2-D118))</f>
        <v/>
      </c>
      <c r="J118">
        <f>IF(E118="","",IF(H118&lt;=0,"Pagada",IF(I118=0,"Al día",IF(I118&lt;=15,"1-15",IF(I118&lt;=30,"16-30","Más de 30")))))</f>
        <v/>
      </c>
    </row>
    <row r="119">
      <c r="A119" s="19" t="n"/>
      <c r="B119" s="19" t="n"/>
      <c r="C119" s="17" t="n"/>
      <c r="D119" s="18">
        <f>IF(C119="","",C119+4)</f>
        <v/>
      </c>
      <c r="E119" s="20" t="n"/>
      <c r="F119" s="20" t="n"/>
      <c r="G119" s="17" t="n"/>
      <c r="H119" s="24">
        <f>IF(E119="","",E119-N(F119))</f>
        <v/>
      </c>
      <c r="I119">
        <f>IF(OR(H119="",N(H119)&lt;=0),0,MAX(0,Parametros!$B$2-D119))</f>
        <v/>
      </c>
      <c r="J119">
        <f>IF(E119="","",IF(H119&lt;=0,"Pagada",IF(I119=0,"Al día",IF(I119&lt;=15,"1-15",IF(I119&lt;=30,"16-30","Más de 30")))))</f>
        <v/>
      </c>
    </row>
    <row r="120">
      <c r="A120" s="19" t="n"/>
      <c r="B120" s="19" t="n"/>
      <c r="C120" s="17" t="n"/>
      <c r="D120" s="18">
        <f>IF(C120="","",C120+4)</f>
        <v/>
      </c>
      <c r="E120" s="20" t="n"/>
      <c r="F120" s="20" t="n"/>
      <c r="G120" s="17" t="n"/>
      <c r="H120" s="24">
        <f>IF(E120="","",E120-N(F120))</f>
        <v/>
      </c>
      <c r="I120">
        <f>IF(OR(H120="",N(H120)&lt;=0),0,MAX(0,Parametros!$B$2-D120))</f>
        <v/>
      </c>
      <c r="J120">
        <f>IF(E120="","",IF(H120&lt;=0,"Pagada",IF(I120=0,"Al día",IF(I120&lt;=15,"1-15",IF(I120&lt;=30,"16-30","Más de 30")))))</f>
        <v/>
      </c>
    </row>
    <row r="121">
      <c r="A121" s="19" t="n"/>
      <c r="B121" s="19" t="n"/>
      <c r="C121" s="17" t="n"/>
      <c r="D121" s="18">
        <f>IF(C121="","",C121+4)</f>
        <v/>
      </c>
      <c r="E121" s="20" t="n"/>
      <c r="F121" s="20" t="n"/>
      <c r="G121" s="17" t="n"/>
      <c r="H121" s="24">
        <f>IF(E121="","",E121-N(F121))</f>
        <v/>
      </c>
      <c r="I121">
        <f>IF(OR(H121="",N(H121)&lt;=0),0,MAX(0,Parametros!$B$2-D121))</f>
        <v/>
      </c>
      <c r="J121">
        <f>IF(E121="","",IF(H121&lt;=0,"Pagada",IF(I121=0,"Al día",IF(I121&lt;=15,"1-15",IF(I121&lt;=30,"16-30","Más de 30")))))</f>
        <v/>
      </c>
    </row>
    <row r="122">
      <c r="A122" s="19" t="n"/>
      <c r="B122" s="19" t="n"/>
      <c r="C122" s="17" t="n"/>
      <c r="D122" s="18">
        <f>IF(C122="","",C122+4)</f>
        <v/>
      </c>
      <c r="E122" s="20" t="n"/>
      <c r="F122" s="20" t="n"/>
      <c r="G122" s="17" t="n"/>
      <c r="H122" s="24">
        <f>IF(E122="","",E122-N(F122))</f>
        <v/>
      </c>
      <c r="I122">
        <f>IF(OR(H122="",N(H122)&lt;=0),0,MAX(0,Parametros!$B$2-D122))</f>
        <v/>
      </c>
      <c r="J122">
        <f>IF(E122="","",IF(H122&lt;=0,"Pagada",IF(I122=0,"Al día",IF(I122&lt;=15,"1-15",IF(I122&lt;=30,"16-30","Más de 30")))))</f>
        <v/>
      </c>
    </row>
    <row r="123">
      <c r="A123" s="19" t="n"/>
      <c r="B123" s="19" t="n"/>
      <c r="C123" s="17" t="n"/>
      <c r="D123" s="18">
        <f>IF(C123="","",C123+4)</f>
        <v/>
      </c>
      <c r="E123" s="20" t="n"/>
      <c r="F123" s="20" t="n"/>
      <c r="G123" s="17" t="n"/>
      <c r="H123" s="24">
        <f>IF(E123="","",E123-N(F123))</f>
        <v/>
      </c>
      <c r="I123">
        <f>IF(OR(H123="",N(H123)&lt;=0),0,MAX(0,Parametros!$B$2-D123))</f>
        <v/>
      </c>
      <c r="J123">
        <f>IF(E123="","",IF(H123&lt;=0,"Pagada",IF(I123=0,"Al día",IF(I123&lt;=15,"1-15",IF(I123&lt;=30,"16-30","Más de 30")))))</f>
        <v/>
      </c>
    </row>
    <row r="124">
      <c r="A124" s="19" t="n"/>
      <c r="B124" s="19" t="n"/>
      <c r="C124" s="17" t="n"/>
      <c r="D124" s="18">
        <f>IF(C124="","",C124+4)</f>
        <v/>
      </c>
      <c r="E124" s="20" t="n"/>
      <c r="F124" s="20" t="n"/>
      <c r="G124" s="17" t="n"/>
      <c r="H124" s="24">
        <f>IF(E124="","",E124-N(F124))</f>
        <v/>
      </c>
      <c r="I124">
        <f>IF(OR(H124="",N(H124)&lt;=0),0,MAX(0,Parametros!$B$2-D124))</f>
        <v/>
      </c>
      <c r="J124">
        <f>IF(E124="","",IF(H124&lt;=0,"Pagada",IF(I124=0,"Al día",IF(I124&lt;=15,"1-15",IF(I124&lt;=30,"16-30","Más de 30")))))</f>
        <v/>
      </c>
    </row>
    <row r="125">
      <c r="A125" s="19" t="n"/>
      <c r="B125" s="19" t="n"/>
      <c r="C125" s="17" t="n"/>
      <c r="D125" s="18">
        <f>IF(C125="","",C125+4)</f>
        <v/>
      </c>
      <c r="E125" s="20" t="n"/>
      <c r="F125" s="20" t="n"/>
      <c r="G125" s="17" t="n"/>
      <c r="H125" s="24">
        <f>IF(E125="","",E125-N(F125))</f>
        <v/>
      </c>
      <c r="I125">
        <f>IF(OR(H125="",N(H125)&lt;=0),0,MAX(0,Parametros!$B$2-D125))</f>
        <v/>
      </c>
      <c r="J125">
        <f>IF(E125="","",IF(H125&lt;=0,"Pagada",IF(I125=0,"Al día",IF(I125&lt;=15,"1-15",IF(I125&lt;=30,"16-30","Más de 30")))))</f>
        <v/>
      </c>
    </row>
    <row r="126">
      <c r="A126" s="19" t="n"/>
      <c r="B126" s="19" t="n"/>
      <c r="C126" s="17" t="n"/>
      <c r="D126" s="18">
        <f>IF(C126="","",C126+4)</f>
        <v/>
      </c>
      <c r="E126" s="20" t="n"/>
      <c r="F126" s="20" t="n"/>
      <c r="G126" s="17" t="n"/>
      <c r="H126" s="24">
        <f>IF(E126="","",E126-N(F126))</f>
        <v/>
      </c>
      <c r="I126">
        <f>IF(OR(H126="",N(H126)&lt;=0),0,MAX(0,Parametros!$B$2-D126))</f>
        <v/>
      </c>
      <c r="J126">
        <f>IF(E126="","",IF(H126&lt;=0,"Pagada",IF(I126=0,"Al día",IF(I126&lt;=15,"1-15",IF(I126&lt;=30,"16-30","Más de 30")))))</f>
        <v/>
      </c>
    </row>
    <row r="127">
      <c r="A127" s="19" t="n"/>
      <c r="B127" s="19" t="n"/>
      <c r="C127" s="17" t="n"/>
      <c r="D127" s="18">
        <f>IF(C127="","",C127+4)</f>
        <v/>
      </c>
      <c r="E127" s="20" t="n"/>
      <c r="F127" s="20" t="n"/>
      <c r="G127" s="17" t="n"/>
      <c r="H127" s="24">
        <f>IF(E127="","",E127-N(F127))</f>
        <v/>
      </c>
      <c r="I127">
        <f>IF(OR(H127="",N(H127)&lt;=0),0,MAX(0,Parametros!$B$2-D127))</f>
        <v/>
      </c>
      <c r="J127">
        <f>IF(E127="","",IF(H127&lt;=0,"Pagada",IF(I127=0,"Al día",IF(I127&lt;=15,"1-15",IF(I127&lt;=30,"16-30","Más de 30")))))</f>
        <v/>
      </c>
    </row>
    <row r="128">
      <c r="A128" s="19" t="n"/>
      <c r="B128" s="19" t="n"/>
      <c r="C128" s="17" t="n"/>
      <c r="D128" s="18">
        <f>IF(C128="","",C128+4)</f>
        <v/>
      </c>
      <c r="E128" s="20" t="n"/>
      <c r="F128" s="20" t="n"/>
      <c r="G128" s="17" t="n"/>
      <c r="H128" s="24">
        <f>IF(E128="","",E128-N(F128))</f>
        <v/>
      </c>
      <c r="I128">
        <f>IF(OR(H128="",N(H128)&lt;=0),0,MAX(0,Parametros!$B$2-D128))</f>
        <v/>
      </c>
      <c r="J128">
        <f>IF(E128="","",IF(H128&lt;=0,"Pagada",IF(I128=0,"Al día",IF(I128&lt;=15,"1-15",IF(I128&lt;=30,"16-30","Más de 30")))))</f>
        <v/>
      </c>
    </row>
    <row r="129">
      <c r="A129" s="19" t="n"/>
      <c r="B129" s="19" t="n"/>
      <c r="C129" s="17" t="n"/>
      <c r="D129" s="18">
        <f>IF(C129="","",C129+4)</f>
        <v/>
      </c>
      <c r="E129" s="20" t="n"/>
      <c r="F129" s="20" t="n"/>
      <c r="G129" s="17" t="n"/>
      <c r="H129" s="24">
        <f>IF(E129="","",E129-N(F129))</f>
        <v/>
      </c>
      <c r="I129">
        <f>IF(OR(H129="",N(H129)&lt;=0),0,MAX(0,Parametros!$B$2-D129))</f>
        <v/>
      </c>
      <c r="J129">
        <f>IF(E129="","",IF(H129&lt;=0,"Pagada",IF(I129=0,"Al día",IF(I129&lt;=15,"1-15",IF(I129&lt;=30,"16-30","Más de 30")))))</f>
        <v/>
      </c>
    </row>
    <row r="130">
      <c r="A130" s="19" t="n"/>
      <c r="B130" s="19" t="n"/>
      <c r="C130" s="17" t="n"/>
      <c r="D130" s="18">
        <f>IF(C130="","",C130+4)</f>
        <v/>
      </c>
      <c r="E130" s="20" t="n"/>
      <c r="F130" s="20" t="n"/>
      <c r="G130" s="17" t="n"/>
      <c r="H130" s="24">
        <f>IF(E130="","",E130-N(F130))</f>
        <v/>
      </c>
      <c r="I130">
        <f>IF(OR(H130="",N(H130)&lt;=0),0,MAX(0,Parametros!$B$2-D130))</f>
        <v/>
      </c>
      <c r="J130">
        <f>IF(E130="","",IF(H130&lt;=0,"Pagada",IF(I130=0,"Al día",IF(I130&lt;=15,"1-15",IF(I130&lt;=30,"16-30","Más de 30")))))</f>
        <v/>
      </c>
    </row>
    <row r="131">
      <c r="A131" s="19" t="n"/>
      <c r="B131" s="19" t="n"/>
      <c r="C131" s="17" t="n"/>
      <c r="D131" s="18">
        <f>IF(C131="","",C131+4)</f>
        <v/>
      </c>
      <c r="E131" s="20" t="n"/>
      <c r="F131" s="20" t="n"/>
      <c r="G131" s="17" t="n"/>
      <c r="H131" s="24">
        <f>IF(E131="","",E131-N(F131))</f>
        <v/>
      </c>
      <c r="I131">
        <f>IF(OR(H131="",N(H131)&lt;=0),0,MAX(0,Parametros!$B$2-D131))</f>
        <v/>
      </c>
      <c r="J131">
        <f>IF(E131="","",IF(H131&lt;=0,"Pagada",IF(I131=0,"Al día",IF(I131&lt;=15,"1-15",IF(I131&lt;=30,"16-30","Más de 30")))))</f>
        <v/>
      </c>
    </row>
    <row r="132">
      <c r="A132" s="19" t="n"/>
      <c r="B132" s="19" t="n"/>
      <c r="C132" s="17" t="n"/>
      <c r="D132" s="18">
        <f>IF(C132="","",C132+4)</f>
        <v/>
      </c>
      <c r="E132" s="20" t="n"/>
      <c r="F132" s="20" t="n"/>
      <c r="G132" s="17" t="n"/>
      <c r="H132" s="24">
        <f>IF(E132="","",E132-N(F132))</f>
        <v/>
      </c>
      <c r="I132">
        <f>IF(OR(H132="",N(H132)&lt;=0),0,MAX(0,Parametros!$B$2-D132))</f>
        <v/>
      </c>
      <c r="J132">
        <f>IF(E132="","",IF(H132&lt;=0,"Pagada",IF(I132=0,"Al día",IF(I132&lt;=15,"1-15",IF(I132&lt;=30,"16-30","Más de 30")))))</f>
        <v/>
      </c>
    </row>
    <row r="133">
      <c r="A133" s="19" t="n"/>
      <c r="B133" s="19" t="n"/>
      <c r="C133" s="17" t="n"/>
      <c r="D133" s="18">
        <f>IF(C133="","",C133+4)</f>
        <v/>
      </c>
      <c r="E133" s="20" t="n"/>
      <c r="F133" s="20" t="n"/>
      <c r="G133" s="17" t="n"/>
      <c r="H133" s="24">
        <f>IF(E133="","",E133-N(F133))</f>
        <v/>
      </c>
      <c r="I133">
        <f>IF(OR(H133="",N(H133)&lt;=0),0,MAX(0,Parametros!$B$2-D133))</f>
        <v/>
      </c>
      <c r="J133">
        <f>IF(E133="","",IF(H133&lt;=0,"Pagada",IF(I133=0,"Al día",IF(I133&lt;=15,"1-15",IF(I133&lt;=30,"16-30","Más de 30")))))</f>
        <v/>
      </c>
    </row>
    <row r="134">
      <c r="A134" s="19" t="n"/>
      <c r="B134" s="19" t="n"/>
      <c r="C134" s="17" t="n"/>
      <c r="D134" s="18">
        <f>IF(C134="","",C134+4)</f>
        <v/>
      </c>
      <c r="E134" s="20" t="n"/>
      <c r="F134" s="20" t="n"/>
      <c r="G134" s="17" t="n"/>
      <c r="H134" s="24">
        <f>IF(E134="","",E134-N(F134))</f>
        <v/>
      </c>
      <c r="I134">
        <f>IF(OR(H134="",N(H134)&lt;=0),0,MAX(0,Parametros!$B$2-D134))</f>
        <v/>
      </c>
      <c r="J134">
        <f>IF(E134="","",IF(H134&lt;=0,"Pagada",IF(I134=0,"Al día",IF(I134&lt;=15,"1-15",IF(I134&lt;=30,"16-30","Más de 30")))))</f>
        <v/>
      </c>
    </row>
    <row r="135">
      <c r="A135" s="19" t="n"/>
      <c r="B135" s="19" t="n"/>
      <c r="C135" s="17" t="n"/>
      <c r="D135" s="18">
        <f>IF(C135="","",C135+4)</f>
        <v/>
      </c>
      <c r="E135" s="20" t="n"/>
      <c r="F135" s="20" t="n"/>
      <c r="G135" s="17" t="n"/>
      <c r="H135" s="24">
        <f>IF(E135="","",E135-N(F135))</f>
        <v/>
      </c>
      <c r="I135">
        <f>IF(OR(H135="",N(H135)&lt;=0),0,MAX(0,Parametros!$B$2-D135))</f>
        <v/>
      </c>
      <c r="J135">
        <f>IF(E135="","",IF(H135&lt;=0,"Pagada",IF(I135=0,"Al día",IF(I135&lt;=15,"1-15",IF(I135&lt;=30,"16-30","Más de 30")))))</f>
        <v/>
      </c>
    </row>
    <row r="136">
      <c r="A136" s="19" t="n"/>
      <c r="B136" s="19" t="n"/>
      <c r="C136" s="17" t="n"/>
      <c r="D136" s="18">
        <f>IF(C136="","",C136+4)</f>
        <v/>
      </c>
      <c r="E136" s="20" t="n"/>
      <c r="F136" s="20" t="n"/>
      <c r="G136" s="17" t="n"/>
      <c r="H136" s="24">
        <f>IF(E136="","",E136-N(F136))</f>
        <v/>
      </c>
      <c r="I136">
        <f>IF(OR(H136="",N(H136)&lt;=0),0,MAX(0,Parametros!$B$2-D136))</f>
        <v/>
      </c>
      <c r="J136">
        <f>IF(E136="","",IF(H136&lt;=0,"Pagada",IF(I136=0,"Al día",IF(I136&lt;=15,"1-15",IF(I136&lt;=30,"16-30","Más de 30")))))</f>
        <v/>
      </c>
    </row>
    <row r="137">
      <c r="A137" s="19" t="n"/>
      <c r="B137" s="19" t="n"/>
      <c r="C137" s="17" t="n"/>
      <c r="D137" s="18">
        <f>IF(C137="","",C137+4)</f>
        <v/>
      </c>
      <c r="E137" s="20" t="n"/>
      <c r="F137" s="20" t="n"/>
      <c r="G137" s="17" t="n"/>
      <c r="H137" s="24">
        <f>IF(E137="","",E137-N(F137))</f>
        <v/>
      </c>
      <c r="I137">
        <f>IF(OR(H137="",N(H137)&lt;=0),0,MAX(0,Parametros!$B$2-D137))</f>
        <v/>
      </c>
      <c r="J137">
        <f>IF(E137="","",IF(H137&lt;=0,"Pagada",IF(I137=0,"Al día",IF(I137&lt;=15,"1-15",IF(I137&lt;=30,"16-30","Más de 30")))))</f>
        <v/>
      </c>
    </row>
    <row r="138">
      <c r="A138" s="19" t="n"/>
      <c r="B138" s="19" t="n"/>
      <c r="C138" s="17" t="n"/>
      <c r="D138" s="18">
        <f>IF(C138="","",C138+4)</f>
        <v/>
      </c>
      <c r="E138" s="20" t="n"/>
      <c r="F138" s="20" t="n"/>
      <c r="G138" s="17" t="n"/>
      <c r="H138" s="24">
        <f>IF(E138="","",E138-N(F138))</f>
        <v/>
      </c>
      <c r="I138">
        <f>IF(OR(H138="",N(H138)&lt;=0),0,MAX(0,Parametros!$B$2-D138))</f>
        <v/>
      </c>
      <c r="J138">
        <f>IF(E138="","",IF(H138&lt;=0,"Pagada",IF(I138=0,"Al día",IF(I138&lt;=15,"1-15",IF(I138&lt;=30,"16-30","Más de 30")))))</f>
        <v/>
      </c>
    </row>
    <row r="139">
      <c r="A139" s="19" t="n"/>
      <c r="B139" s="19" t="n"/>
      <c r="C139" s="17" t="n"/>
      <c r="D139" s="18">
        <f>IF(C139="","",C139+4)</f>
        <v/>
      </c>
      <c r="E139" s="20" t="n"/>
      <c r="F139" s="20" t="n"/>
      <c r="G139" s="17" t="n"/>
      <c r="H139" s="24">
        <f>IF(E139="","",E139-N(F139))</f>
        <v/>
      </c>
      <c r="I139">
        <f>IF(OR(H139="",N(H139)&lt;=0),0,MAX(0,Parametros!$B$2-D139))</f>
        <v/>
      </c>
      <c r="J139">
        <f>IF(E139="","",IF(H139&lt;=0,"Pagada",IF(I139=0,"Al día",IF(I139&lt;=15,"1-15",IF(I139&lt;=30,"16-30","Más de 30")))))</f>
        <v/>
      </c>
    </row>
    <row r="140">
      <c r="A140" s="19" t="n"/>
      <c r="B140" s="19" t="n"/>
      <c r="C140" s="17" t="n"/>
      <c r="D140" s="18">
        <f>IF(C140="","",C140+4)</f>
        <v/>
      </c>
      <c r="E140" s="20" t="n"/>
      <c r="F140" s="20" t="n"/>
      <c r="G140" s="17" t="n"/>
      <c r="H140" s="24">
        <f>IF(E140="","",E140-N(F140))</f>
        <v/>
      </c>
      <c r="I140">
        <f>IF(OR(H140="",N(H140)&lt;=0),0,MAX(0,Parametros!$B$2-D140))</f>
        <v/>
      </c>
      <c r="J140">
        <f>IF(E140="","",IF(H140&lt;=0,"Pagada",IF(I140=0,"Al día",IF(I140&lt;=15,"1-15",IF(I140&lt;=30,"16-30","Más de 30")))))</f>
        <v/>
      </c>
    </row>
    <row r="141">
      <c r="A141" s="19" t="n"/>
      <c r="B141" s="19" t="n"/>
      <c r="C141" s="17" t="n"/>
      <c r="D141" s="18">
        <f>IF(C141="","",C141+4)</f>
        <v/>
      </c>
      <c r="E141" s="20" t="n"/>
      <c r="F141" s="20" t="n"/>
      <c r="G141" s="17" t="n"/>
      <c r="H141" s="24">
        <f>IF(E141="","",E141-N(F141))</f>
        <v/>
      </c>
      <c r="I141">
        <f>IF(OR(H141="",N(H141)&lt;=0),0,MAX(0,Parametros!$B$2-D141))</f>
        <v/>
      </c>
      <c r="J141">
        <f>IF(E141="","",IF(H141&lt;=0,"Pagada",IF(I141=0,"Al día",IF(I141&lt;=15,"1-15",IF(I141&lt;=30,"16-30","Más de 30")))))</f>
        <v/>
      </c>
    </row>
    <row r="142">
      <c r="A142" s="19" t="n"/>
      <c r="B142" s="19" t="n"/>
      <c r="C142" s="17" t="n"/>
      <c r="D142" s="18">
        <f>IF(C142="","",C142+4)</f>
        <v/>
      </c>
      <c r="E142" s="20" t="n"/>
      <c r="F142" s="20" t="n"/>
      <c r="G142" s="17" t="n"/>
      <c r="H142" s="24">
        <f>IF(E142="","",E142-N(F142))</f>
        <v/>
      </c>
      <c r="I142">
        <f>IF(OR(H142="",N(H142)&lt;=0),0,MAX(0,Parametros!$B$2-D142))</f>
        <v/>
      </c>
      <c r="J142">
        <f>IF(E142="","",IF(H142&lt;=0,"Pagada",IF(I142=0,"Al día",IF(I142&lt;=15,"1-15",IF(I142&lt;=30,"16-30","Más de 30")))))</f>
        <v/>
      </c>
    </row>
    <row r="143">
      <c r="A143" s="19" t="n"/>
      <c r="B143" s="19" t="n"/>
      <c r="C143" s="17" t="n"/>
      <c r="D143" s="18">
        <f>IF(C143="","",C143+4)</f>
        <v/>
      </c>
      <c r="E143" s="20" t="n"/>
      <c r="F143" s="20" t="n"/>
      <c r="G143" s="17" t="n"/>
      <c r="H143" s="24">
        <f>IF(E143="","",E143-N(F143))</f>
        <v/>
      </c>
      <c r="I143">
        <f>IF(OR(H143="",N(H143)&lt;=0),0,MAX(0,Parametros!$B$2-D143))</f>
        <v/>
      </c>
      <c r="J143">
        <f>IF(E143="","",IF(H143&lt;=0,"Pagada",IF(I143=0,"Al día",IF(I143&lt;=15,"1-15",IF(I143&lt;=30,"16-30","Más de 30")))))</f>
        <v/>
      </c>
    </row>
    <row r="144">
      <c r="A144" s="19" t="n"/>
      <c r="B144" s="19" t="n"/>
      <c r="C144" s="17" t="n"/>
      <c r="D144" s="18">
        <f>IF(C144="","",C144+4)</f>
        <v/>
      </c>
      <c r="E144" s="20" t="n"/>
      <c r="F144" s="20" t="n"/>
      <c r="G144" s="17" t="n"/>
      <c r="H144" s="24">
        <f>IF(E144="","",E144-N(F144))</f>
        <v/>
      </c>
      <c r="I144">
        <f>IF(OR(H144="",N(H144)&lt;=0),0,MAX(0,Parametros!$B$2-D144))</f>
        <v/>
      </c>
      <c r="J144">
        <f>IF(E144="","",IF(H144&lt;=0,"Pagada",IF(I144=0,"Al día",IF(I144&lt;=15,"1-15",IF(I144&lt;=30,"16-30","Más de 30")))))</f>
        <v/>
      </c>
    </row>
    <row r="145">
      <c r="A145" s="19" t="n"/>
      <c r="B145" s="19" t="n"/>
      <c r="C145" s="17" t="n"/>
      <c r="D145" s="18">
        <f>IF(C145="","",C145+4)</f>
        <v/>
      </c>
      <c r="E145" s="20" t="n"/>
      <c r="F145" s="20" t="n"/>
      <c r="G145" s="17" t="n"/>
      <c r="H145" s="24">
        <f>IF(E145="","",E145-N(F145))</f>
        <v/>
      </c>
      <c r="I145">
        <f>IF(OR(H145="",N(H145)&lt;=0),0,MAX(0,Parametros!$B$2-D145))</f>
        <v/>
      </c>
      <c r="J145">
        <f>IF(E145="","",IF(H145&lt;=0,"Pagada",IF(I145=0,"Al día",IF(I145&lt;=15,"1-15",IF(I145&lt;=30,"16-30","Más de 30")))))</f>
        <v/>
      </c>
    </row>
    <row r="146">
      <c r="A146" s="19" t="n"/>
      <c r="B146" s="19" t="n"/>
      <c r="C146" s="17" t="n"/>
      <c r="D146" s="18">
        <f>IF(C146="","",C146+4)</f>
        <v/>
      </c>
      <c r="E146" s="20" t="n"/>
      <c r="F146" s="20" t="n"/>
      <c r="G146" s="17" t="n"/>
      <c r="H146" s="24">
        <f>IF(E146="","",E146-N(F146))</f>
        <v/>
      </c>
      <c r="I146">
        <f>IF(OR(H146="",N(H146)&lt;=0),0,MAX(0,Parametros!$B$2-D146))</f>
        <v/>
      </c>
      <c r="J146">
        <f>IF(E146="","",IF(H146&lt;=0,"Pagada",IF(I146=0,"Al día",IF(I146&lt;=15,"1-15",IF(I146&lt;=30,"16-30","Más de 30")))))</f>
        <v/>
      </c>
    </row>
    <row r="147">
      <c r="A147" s="19" t="n"/>
      <c r="B147" s="19" t="n"/>
      <c r="C147" s="17" t="n"/>
      <c r="D147" s="18">
        <f>IF(C147="","",C147+4)</f>
        <v/>
      </c>
      <c r="E147" s="20" t="n"/>
      <c r="F147" s="20" t="n"/>
      <c r="G147" s="17" t="n"/>
      <c r="H147" s="24">
        <f>IF(E147="","",E147-N(F147))</f>
        <v/>
      </c>
      <c r="I147">
        <f>IF(OR(H147="",N(H147)&lt;=0),0,MAX(0,Parametros!$B$2-D147))</f>
        <v/>
      </c>
      <c r="J147">
        <f>IF(E147="","",IF(H147&lt;=0,"Pagada",IF(I147=0,"Al día",IF(I147&lt;=15,"1-15",IF(I147&lt;=30,"16-30","Más de 30")))))</f>
        <v/>
      </c>
    </row>
    <row r="148">
      <c r="A148" s="19" t="n"/>
      <c r="B148" s="19" t="n"/>
      <c r="C148" s="17" t="n"/>
      <c r="D148" s="18">
        <f>IF(C148="","",C148+4)</f>
        <v/>
      </c>
      <c r="E148" s="20" t="n"/>
      <c r="F148" s="20" t="n"/>
      <c r="G148" s="17" t="n"/>
      <c r="H148" s="24">
        <f>IF(E148="","",E148-N(F148))</f>
        <v/>
      </c>
      <c r="I148">
        <f>IF(OR(H148="",N(H148)&lt;=0),0,MAX(0,Parametros!$B$2-D148))</f>
        <v/>
      </c>
      <c r="J148">
        <f>IF(E148="","",IF(H148&lt;=0,"Pagada",IF(I148=0,"Al día",IF(I148&lt;=15,"1-15",IF(I148&lt;=30,"16-30","Más de 30")))))</f>
        <v/>
      </c>
    </row>
    <row r="149">
      <c r="A149" s="19" t="n"/>
      <c r="B149" s="19" t="n"/>
      <c r="C149" s="17" t="n"/>
      <c r="D149" s="18">
        <f>IF(C149="","",C149+4)</f>
        <v/>
      </c>
      <c r="E149" s="20" t="n"/>
      <c r="F149" s="20" t="n"/>
      <c r="G149" s="17" t="n"/>
      <c r="H149" s="24">
        <f>IF(E149="","",E149-N(F149))</f>
        <v/>
      </c>
      <c r="I149">
        <f>IF(OR(H149="",N(H149)&lt;=0),0,MAX(0,Parametros!$B$2-D149))</f>
        <v/>
      </c>
      <c r="J149">
        <f>IF(E149="","",IF(H149&lt;=0,"Pagada",IF(I149=0,"Al día",IF(I149&lt;=15,"1-15",IF(I149&lt;=30,"16-30","Más de 30")))))</f>
        <v/>
      </c>
    </row>
    <row r="150">
      <c r="A150" s="19" t="n"/>
      <c r="B150" s="19" t="n"/>
      <c r="C150" s="17" t="n"/>
      <c r="D150" s="18">
        <f>IF(C150="","",C150+4)</f>
        <v/>
      </c>
      <c r="E150" s="20" t="n"/>
      <c r="F150" s="20" t="n"/>
      <c r="G150" s="17" t="n"/>
      <c r="H150" s="24">
        <f>IF(E150="","",E150-N(F150))</f>
        <v/>
      </c>
      <c r="I150">
        <f>IF(OR(H150="",N(H150)&lt;=0),0,MAX(0,Parametros!$B$2-D150))</f>
        <v/>
      </c>
      <c r="J150">
        <f>IF(E150="","",IF(H150&lt;=0,"Pagada",IF(I150=0,"Al día",IF(I150&lt;=15,"1-15",IF(I150&lt;=30,"16-30","Más de 30")))))</f>
        <v/>
      </c>
    </row>
    <row r="151">
      <c r="A151" s="19" t="n"/>
      <c r="B151" s="19" t="n"/>
      <c r="C151" s="17" t="n"/>
      <c r="D151" s="18">
        <f>IF(C151="","",C151+4)</f>
        <v/>
      </c>
      <c r="E151" s="20" t="n"/>
      <c r="F151" s="20" t="n"/>
      <c r="G151" s="17" t="n"/>
      <c r="H151" s="24">
        <f>IF(E151="","",E151-N(F151))</f>
        <v/>
      </c>
      <c r="I151">
        <f>IF(OR(H151="",N(H151)&lt;=0),0,MAX(0,Parametros!$B$2-D151))</f>
        <v/>
      </c>
      <c r="J151">
        <f>IF(E151="","",IF(H151&lt;=0,"Pagada",IF(I151=0,"Al día",IF(I151&lt;=15,"1-15",IF(I151&lt;=30,"16-30","Más de 30")))))</f>
        <v/>
      </c>
    </row>
    <row r="152">
      <c r="A152" s="19" t="n"/>
      <c r="B152" s="19" t="n"/>
      <c r="C152" s="17" t="n"/>
      <c r="D152" s="18">
        <f>IF(C152="","",C152+4)</f>
        <v/>
      </c>
      <c r="E152" s="20" t="n"/>
      <c r="F152" s="20" t="n"/>
      <c r="G152" s="17" t="n"/>
      <c r="H152" s="24">
        <f>IF(E152="","",E152-N(F152))</f>
        <v/>
      </c>
      <c r="I152">
        <f>IF(OR(H152="",N(H152)&lt;=0),0,MAX(0,Parametros!$B$2-D152))</f>
        <v/>
      </c>
      <c r="J152">
        <f>IF(E152="","",IF(H152&lt;=0,"Pagada",IF(I152=0,"Al día",IF(I152&lt;=15,"1-15",IF(I152&lt;=30,"16-30","Más de 30")))))</f>
        <v/>
      </c>
    </row>
    <row r="153">
      <c r="A153" s="19" t="n"/>
      <c r="B153" s="19" t="n"/>
      <c r="C153" s="17" t="n"/>
      <c r="D153" s="18">
        <f>IF(C153="","",C153+4)</f>
        <v/>
      </c>
      <c r="E153" s="20" t="n"/>
      <c r="F153" s="20" t="n"/>
      <c r="G153" s="17" t="n"/>
      <c r="H153" s="24">
        <f>IF(E153="","",E153-N(F153))</f>
        <v/>
      </c>
      <c r="I153">
        <f>IF(OR(H153="",N(H153)&lt;=0),0,MAX(0,Parametros!$B$2-D153))</f>
        <v/>
      </c>
      <c r="J153">
        <f>IF(E153="","",IF(H153&lt;=0,"Pagada",IF(I153=0,"Al día",IF(I153&lt;=15,"1-15",IF(I153&lt;=30,"16-30","Más de 30")))))</f>
        <v/>
      </c>
    </row>
    <row r="154">
      <c r="A154" s="19" t="n"/>
      <c r="B154" s="19" t="n"/>
      <c r="C154" s="17" t="n"/>
      <c r="D154" s="18">
        <f>IF(C154="","",C154+4)</f>
        <v/>
      </c>
      <c r="E154" s="20" t="n"/>
      <c r="F154" s="20" t="n"/>
      <c r="G154" s="17" t="n"/>
      <c r="H154" s="24">
        <f>IF(E154="","",E154-N(F154))</f>
        <v/>
      </c>
      <c r="I154">
        <f>IF(OR(H154="",N(H154)&lt;=0),0,MAX(0,Parametros!$B$2-D154))</f>
        <v/>
      </c>
      <c r="J154">
        <f>IF(E154="","",IF(H154&lt;=0,"Pagada",IF(I154=0,"Al día",IF(I154&lt;=15,"1-15",IF(I154&lt;=30,"16-30","Más de 30")))))</f>
        <v/>
      </c>
    </row>
    <row r="155">
      <c r="A155" s="19" t="n"/>
      <c r="B155" s="19" t="n"/>
      <c r="C155" s="17" t="n"/>
      <c r="D155" s="18">
        <f>IF(C155="","",C155+4)</f>
        <v/>
      </c>
      <c r="E155" s="20" t="n"/>
      <c r="F155" s="20" t="n"/>
      <c r="G155" s="17" t="n"/>
      <c r="H155" s="24">
        <f>IF(E155="","",E155-N(F155))</f>
        <v/>
      </c>
      <c r="I155">
        <f>IF(OR(H155="",N(H155)&lt;=0),0,MAX(0,Parametros!$B$2-D155))</f>
        <v/>
      </c>
      <c r="J155">
        <f>IF(E155="","",IF(H155&lt;=0,"Pagada",IF(I155=0,"Al día",IF(I155&lt;=15,"1-15",IF(I155&lt;=30,"16-30","Más de 30")))))</f>
        <v/>
      </c>
    </row>
    <row r="156">
      <c r="A156" s="19" t="n"/>
      <c r="B156" s="19" t="n"/>
      <c r="C156" s="17" t="n"/>
      <c r="D156" s="18">
        <f>IF(C156="","",C156+4)</f>
        <v/>
      </c>
      <c r="E156" s="20" t="n"/>
      <c r="F156" s="20" t="n"/>
      <c r="G156" s="17" t="n"/>
      <c r="H156" s="24">
        <f>IF(E156="","",E156-N(F156))</f>
        <v/>
      </c>
      <c r="I156">
        <f>IF(OR(H156="",N(H156)&lt;=0),0,MAX(0,Parametros!$B$2-D156))</f>
        <v/>
      </c>
      <c r="J156">
        <f>IF(E156="","",IF(H156&lt;=0,"Pagada",IF(I156=0,"Al día",IF(I156&lt;=15,"1-15",IF(I156&lt;=30,"16-30","Más de 30")))))</f>
        <v/>
      </c>
    </row>
    <row r="157">
      <c r="A157" s="19" t="n"/>
      <c r="B157" s="19" t="n"/>
      <c r="C157" s="17" t="n"/>
      <c r="D157" s="18">
        <f>IF(C157="","",C157+4)</f>
        <v/>
      </c>
      <c r="E157" s="20" t="n"/>
      <c r="F157" s="20" t="n"/>
      <c r="G157" s="17" t="n"/>
      <c r="H157" s="24">
        <f>IF(E157="","",E157-N(F157))</f>
        <v/>
      </c>
      <c r="I157">
        <f>IF(OR(H157="",N(H157)&lt;=0),0,MAX(0,Parametros!$B$2-D157))</f>
        <v/>
      </c>
      <c r="J157">
        <f>IF(E157="","",IF(H157&lt;=0,"Pagada",IF(I157=0,"Al día",IF(I157&lt;=15,"1-15",IF(I157&lt;=30,"16-30","Más de 30")))))</f>
        <v/>
      </c>
    </row>
    <row r="158">
      <c r="A158" s="19" t="n"/>
      <c r="B158" s="19" t="n"/>
      <c r="C158" s="17" t="n"/>
      <c r="D158" s="18">
        <f>IF(C158="","",C158+4)</f>
        <v/>
      </c>
      <c r="E158" s="20" t="n"/>
      <c r="F158" s="20" t="n"/>
      <c r="G158" s="17" t="n"/>
      <c r="H158" s="24">
        <f>IF(E158="","",E158-N(F158))</f>
        <v/>
      </c>
      <c r="I158">
        <f>IF(OR(H158="",N(H158)&lt;=0),0,MAX(0,Parametros!$B$2-D158))</f>
        <v/>
      </c>
      <c r="J158">
        <f>IF(E158="","",IF(H158&lt;=0,"Pagada",IF(I158=0,"Al día",IF(I158&lt;=15,"1-15",IF(I158&lt;=30,"16-30","Más de 30")))))</f>
        <v/>
      </c>
    </row>
    <row r="159">
      <c r="A159" s="19" t="n"/>
      <c r="B159" s="19" t="n"/>
      <c r="C159" s="17" t="n"/>
      <c r="D159" s="18">
        <f>IF(C159="","",C159+4)</f>
        <v/>
      </c>
      <c r="E159" s="20" t="n"/>
      <c r="F159" s="20" t="n"/>
      <c r="G159" s="17" t="n"/>
      <c r="H159" s="24">
        <f>IF(E159="","",E159-N(F159))</f>
        <v/>
      </c>
      <c r="I159">
        <f>IF(OR(H159="",N(H159)&lt;=0),0,MAX(0,Parametros!$B$2-D159))</f>
        <v/>
      </c>
      <c r="J159">
        <f>IF(E159="","",IF(H159&lt;=0,"Pagada",IF(I159=0,"Al día",IF(I159&lt;=15,"1-15",IF(I159&lt;=30,"16-30","Más de 30")))))</f>
        <v/>
      </c>
    </row>
    <row r="160">
      <c r="A160" s="19" t="n"/>
      <c r="B160" s="19" t="n"/>
      <c r="C160" s="17" t="n"/>
      <c r="D160" s="18">
        <f>IF(C160="","",C160+4)</f>
        <v/>
      </c>
      <c r="E160" s="20" t="n"/>
      <c r="F160" s="20" t="n"/>
      <c r="G160" s="17" t="n"/>
      <c r="H160" s="24">
        <f>IF(E160="","",E160-N(F160))</f>
        <v/>
      </c>
      <c r="I160">
        <f>IF(OR(H160="",N(H160)&lt;=0),0,MAX(0,Parametros!$B$2-D160))</f>
        <v/>
      </c>
      <c r="J160">
        <f>IF(E160="","",IF(H160&lt;=0,"Pagada",IF(I160=0,"Al día",IF(I160&lt;=15,"1-15",IF(I160&lt;=30,"16-30","Más de 30")))))</f>
        <v/>
      </c>
    </row>
    <row r="161">
      <c r="A161" s="19" t="n"/>
      <c r="B161" s="19" t="n"/>
      <c r="C161" s="17" t="n"/>
      <c r="D161" s="18">
        <f>IF(C161="","",C161+4)</f>
        <v/>
      </c>
      <c r="E161" s="20" t="n"/>
      <c r="F161" s="20" t="n"/>
      <c r="G161" s="17" t="n"/>
      <c r="H161" s="24">
        <f>IF(E161="","",E161-N(F161))</f>
        <v/>
      </c>
      <c r="I161">
        <f>IF(OR(H161="",N(H161)&lt;=0),0,MAX(0,Parametros!$B$2-D161))</f>
        <v/>
      </c>
      <c r="J161">
        <f>IF(E161="","",IF(H161&lt;=0,"Pagada",IF(I161=0,"Al día",IF(I161&lt;=15,"1-15",IF(I161&lt;=30,"16-30","Más de 30")))))</f>
        <v/>
      </c>
    </row>
    <row r="162">
      <c r="A162" s="19" t="n"/>
      <c r="B162" s="19" t="n"/>
      <c r="C162" s="17" t="n"/>
      <c r="D162" s="18">
        <f>IF(C162="","",C162+4)</f>
        <v/>
      </c>
      <c r="E162" s="20" t="n"/>
      <c r="F162" s="20" t="n"/>
      <c r="G162" s="17" t="n"/>
      <c r="H162" s="24">
        <f>IF(E162="","",E162-N(F162))</f>
        <v/>
      </c>
      <c r="I162">
        <f>IF(OR(H162="",N(H162)&lt;=0),0,MAX(0,Parametros!$B$2-D162))</f>
        <v/>
      </c>
      <c r="J162">
        <f>IF(E162="","",IF(H162&lt;=0,"Pagada",IF(I162=0,"Al día",IF(I162&lt;=15,"1-15",IF(I162&lt;=30,"16-30","Más de 30")))))</f>
        <v/>
      </c>
    </row>
    <row r="163">
      <c r="A163" s="19" t="n"/>
      <c r="B163" s="19" t="n"/>
      <c r="C163" s="17" t="n"/>
      <c r="D163" s="18">
        <f>IF(C163="","",C163+4)</f>
        <v/>
      </c>
      <c r="E163" s="20" t="n"/>
      <c r="F163" s="20" t="n"/>
      <c r="G163" s="17" t="n"/>
      <c r="H163" s="24">
        <f>IF(E163="","",E163-N(F163))</f>
        <v/>
      </c>
      <c r="I163">
        <f>IF(OR(H163="",N(H163)&lt;=0),0,MAX(0,Parametros!$B$2-D163))</f>
        <v/>
      </c>
      <c r="J163">
        <f>IF(E163="","",IF(H163&lt;=0,"Pagada",IF(I163=0,"Al día",IF(I163&lt;=15,"1-15",IF(I163&lt;=30,"16-30","Más de 30")))))</f>
        <v/>
      </c>
    </row>
    <row r="164">
      <c r="A164" s="19" t="n"/>
      <c r="B164" s="19" t="n"/>
      <c r="C164" s="17" t="n"/>
      <c r="D164" s="18">
        <f>IF(C164="","",C164+4)</f>
        <v/>
      </c>
      <c r="E164" s="20" t="n"/>
      <c r="F164" s="20" t="n"/>
      <c r="G164" s="17" t="n"/>
      <c r="H164" s="24">
        <f>IF(E164="","",E164-N(F164))</f>
        <v/>
      </c>
      <c r="I164">
        <f>IF(OR(H164="",N(H164)&lt;=0),0,MAX(0,Parametros!$B$2-D164))</f>
        <v/>
      </c>
      <c r="J164">
        <f>IF(E164="","",IF(H164&lt;=0,"Pagada",IF(I164=0,"Al día",IF(I164&lt;=15,"1-15",IF(I164&lt;=30,"16-30","Más de 30")))))</f>
        <v/>
      </c>
    </row>
    <row r="165">
      <c r="A165" s="19" t="n"/>
      <c r="B165" s="19" t="n"/>
      <c r="C165" s="17" t="n"/>
      <c r="D165" s="18">
        <f>IF(C165="","",C165+4)</f>
        <v/>
      </c>
      <c r="E165" s="20" t="n"/>
      <c r="F165" s="20" t="n"/>
      <c r="G165" s="17" t="n"/>
      <c r="H165" s="24">
        <f>IF(E165="","",E165-N(F165))</f>
        <v/>
      </c>
      <c r="I165">
        <f>IF(OR(H165="",N(H165)&lt;=0),0,MAX(0,Parametros!$B$2-D165))</f>
        <v/>
      </c>
      <c r="J165">
        <f>IF(E165="","",IF(H165&lt;=0,"Pagada",IF(I165=0,"Al día",IF(I165&lt;=15,"1-15",IF(I165&lt;=30,"16-30","Más de 30")))))</f>
        <v/>
      </c>
    </row>
    <row r="166">
      <c r="A166" s="19" t="n"/>
      <c r="B166" s="19" t="n"/>
      <c r="C166" s="17" t="n"/>
      <c r="D166" s="18">
        <f>IF(C166="","",C166+4)</f>
        <v/>
      </c>
      <c r="E166" s="20" t="n"/>
      <c r="F166" s="20" t="n"/>
      <c r="G166" s="17" t="n"/>
      <c r="H166" s="24">
        <f>IF(E166="","",E166-N(F166))</f>
        <v/>
      </c>
      <c r="I166">
        <f>IF(OR(H166="",N(H166)&lt;=0),0,MAX(0,Parametros!$B$2-D166))</f>
        <v/>
      </c>
      <c r="J166">
        <f>IF(E166="","",IF(H166&lt;=0,"Pagada",IF(I166=0,"Al día",IF(I166&lt;=15,"1-15",IF(I166&lt;=30,"16-30","Más de 30")))))</f>
        <v/>
      </c>
    </row>
    <row r="167">
      <c r="A167" s="19" t="n"/>
      <c r="B167" s="19" t="n"/>
      <c r="C167" s="17" t="n"/>
      <c r="D167" s="18">
        <f>IF(C167="","",C167+4)</f>
        <v/>
      </c>
      <c r="E167" s="20" t="n"/>
      <c r="F167" s="20" t="n"/>
      <c r="G167" s="17" t="n"/>
      <c r="H167" s="24">
        <f>IF(E167="","",E167-N(F167))</f>
        <v/>
      </c>
      <c r="I167">
        <f>IF(OR(H167="",N(H167)&lt;=0),0,MAX(0,Parametros!$B$2-D167))</f>
        <v/>
      </c>
      <c r="J167">
        <f>IF(E167="","",IF(H167&lt;=0,"Pagada",IF(I167=0,"Al día",IF(I167&lt;=15,"1-15",IF(I167&lt;=30,"16-30","Más de 30")))))</f>
        <v/>
      </c>
    </row>
    <row r="168">
      <c r="A168" s="19" t="n"/>
      <c r="B168" s="19" t="n"/>
      <c r="C168" s="17" t="n"/>
      <c r="D168" s="18">
        <f>IF(C168="","",C168+4)</f>
        <v/>
      </c>
      <c r="E168" s="20" t="n"/>
      <c r="F168" s="20" t="n"/>
      <c r="G168" s="17" t="n"/>
      <c r="H168" s="24">
        <f>IF(E168="","",E168-N(F168))</f>
        <v/>
      </c>
      <c r="I168">
        <f>IF(OR(H168="",N(H168)&lt;=0),0,MAX(0,Parametros!$B$2-D168))</f>
        <v/>
      </c>
      <c r="J168">
        <f>IF(E168="","",IF(H168&lt;=0,"Pagada",IF(I168=0,"Al día",IF(I168&lt;=15,"1-15",IF(I168&lt;=30,"16-30","Más de 30")))))</f>
        <v/>
      </c>
    </row>
    <row r="169">
      <c r="A169" s="19" t="n"/>
      <c r="B169" s="19" t="n"/>
      <c r="C169" s="17" t="n"/>
      <c r="D169" s="18">
        <f>IF(C169="","",C169+4)</f>
        <v/>
      </c>
      <c r="E169" s="20" t="n"/>
      <c r="F169" s="20" t="n"/>
      <c r="G169" s="17" t="n"/>
      <c r="H169" s="24">
        <f>IF(E169="","",E169-N(F169))</f>
        <v/>
      </c>
      <c r="I169">
        <f>IF(OR(H169="",N(H169)&lt;=0),0,MAX(0,Parametros!$B$2-D169))</f>
        <v/>
      </c>
      <c r="J169">
        <f>IF(E169="","",IF(H169&lt;=0,"Pagada",IF(I169=0,"Al día",IF(I169&lt;=15,"1-15",IF(I169&lt;=30,"16-30","Más de 30")))))</f>
        <v/>
      </c>
    </row>
    <row r="170">
      <c r="A170" s="19" t="n"/>
      <c r="B170" s="19" t="n"/>
      <c r="C170" s="17" t="n"/>
      <c r="D170" s="18">
        <f>IF(C170="","",C170+4)</f>
        <v/>
      </c>
      <c r="E170" s="20" t="n"/>
      <c r="F170" s="20" t="n"/>
      <c r="G170" s="17" t="n"/>
      <c r="H170" s="24">
        <f>IF(E170="","",E170-N(F170))</f>
        <v/>
      </c>
      <c r="I170">
        <f>IF(OR(H170="",N(H170)&lt;=0),0,MAX(0,Parametros!$B$2-D170))</f>
        <v/>
      </c>
      <c r="J170">
        <f>IF(E170="","",IF(H170&lt;=0,"Pagada",IF(I170=0,"Al día",IF(I170&lt;=15,"1-15",IF(I170&lt;=30,"16-30","Más de 30")))))</f>
        <v/>
      </c>
    </row>
    <row r="171">
      <c r="A171" s="19" t="n"/>
      <c r="B171" s="19" t="n"/>
      <c r="C171" s="17" t="n"/>
      <c r="D171" s="18">
        <f>IF(C171="","",C171+4)</f>
        <v/>
      </c>
      <c r="E171" s="20" t="n"/>
      <c r="F171" s="20" t="n"/>
      <c r="G171" s="17" t="n"/>
      <c r="H171" s="24">
        <f>IF(E171="","",E171-N(F171))</f>
        <v/>
      </c>
      <c r="I171">
        <f>IF(OR(H171="",N(H171)&lt;=0),0,MAX(0,Parametros!$B$2-D171))</f>
        <v/>
      </c>
      <c r="J171">
        <f>IF(E171="","",IF(H171&lt;=0,"Pagada",IF(I171=0,"Al día",IF(I171&lt;=15,"1-15",IF(I171&lt;=30,"16-30","Más de 30")))))</f>
        <v/>
      </c>
    </row>
    <row r="172">
      <c r="A172" s="19" t="n"/>
      <c r="B172" s="19" t="n"/>
      <c r="C172" s="17" t="n"/>
      <c r="D172" s="18">
        <f>IF(C172="","",C172+4)</f>
        <v/>
      </c>
      <c r="E172" s="20" t="n"/>
      <c r="F172" s="20" t="n"/>
      <c r="G172" s="17" t="n"/>
      <c r="H172" s="24">
        <f>IF(E172="","",E172-N(F172))</f>
        <v/>
      </c>
      <c r="I172">
        <f>IF(OR(H172="",N(H172)&lt;=0),0,MAX(0,Parametros!$B$2-D172))</f>
        <v/>
      </c>
      <c r="J172">
        <f>IF(E172="","",IF(H172&lt;=0,"Pagada",IF(I172=0,"Al día",IF(I172&lt;=15,"1-15",IF(I172&lt;=30,"16-30","Más de 30")))))</f>
        <v/>
      </c>
    </row>
    <row r="173">
      <c r="A173" s="19" t="n"/>
      <c r="B173" s="19" t="n"/>
      <c r="C173" s="17" t="n"/>
      <c r="D173" s="18">
        <f>IF(C173="","",C173+4)</f>
        <v/>
      </c>
      <c r="E173" s="20" t="n"/>
      <c r="F173" s="20" t="n"/>
      <c r="G173" s="17" t="n"/>
      <c r="H173" s="24">
        <f>IF(E173="","",E173-N(F173))</f>
        <v/>
      </c>
      <c r="I173">
        <f>IF(OR(H173="",N(H173)&lt;=0),0,MAX(0,Parametros!$B$2-D173))</f>
        <v/>
      </c>
      <c r="J173">
        <f>IF(E173="","",IF(H173&lt;=0,"Pagada",IF(I173=0,"Al día",IF(I173&lt;=15,"1-15",IF(I173&lt;=30,"16-30","Más de 30")))))</f>
        <v/>
      </c>
    </row>
    <row r="174">
      <c r="A174" s="19" t="n"/>
      <c r="B174" s="19" t="n"/>
      <c r="C174" s="17" t="n"/>
      <c r="D174" s="18">
        <f>IF(C174="","",C174+4)</f>
        <v/>
      </c>
      <c r="E174" s="20" t="n"/>
      <c r="F174" s="20" t="n"/>
      <c r="G174" s="17" t="n"/>
      <c r="H174" s="24">
        <f>IF(E174="","",E174-N(F174))</f>
        <v/>
      </c>
      <c r="I174">
        <f>IF(OR(H174="",N(H174)&lt;=0),0,MAX(0,Parametros!$B$2-D174))</f>
        <v/>
      </c>
      <c r="J174">
        <f>IF(E174="","",IF(H174&lt;=0,"Pagada",IF(I174=0,"Al día",IF(I174&lt;=15,"1-15",IF(I174&lt;=30,"16-30","Más de 30")))))</f>
        <v/>
      </c>
    </row>
    <row r="175">
      <c r="A175" s="19" t="n"/>
      <c r="B175" s="19" t="n"/>
      <c r="C175" s="17" t="n"/>
      <c r="D175" s="18">
        <f>IF(C175="","",C175+4)</f>
        <v/>
      </c>
      <c r="E175" s="20" t="n"/>
      <c r="F175" s="20" t="n"/>
      <c r="G175" s="17" t="n"/>
      <c r="H175" s="24">
        <f>IF(E175="","",E175-N(F175))</f>
        <v/>
      </c>
      <c r="I175">
        <f>IF(OR(H175="",N(H175)&lt;=0),0,MAX(0,Parametros!$B$2-D175))</f>
        <v/>
      </c>
      <c r="J175">
        <f>IF(E175="","",IF(H175&lt;=0,"Pagada",IF(I175=0,"Al día",IF(I175&lt;=15,"1-15",IF(I175&lt;=30,"16-30","Más de 30")))))</f>
        <v/>
      </c>
    </row>
    <row r="176">
      <c r="A176" s="19" t="n"/>
      <c r="B176" s="19" t="n"/>
      <c r="C176" s="17" t="n"/>
      <c r="D176" s="18">
        <f>IF(C176="","",C176+4)</f>
        <v/>
      </c>
      <c r="E176" s="20" t="n"/>
      <c r="F176" s="20" t="n"/>
      <c r="G176" s="17" t="n"/>
      <c r="H176" s="24">
        <f>IF(E176="","",E176-N(F176))</f>
        <v/>
      </c>
      <c r="I176">
        <f>IF(OR(H176="",N(H176)&lt;=0),0,MAX(0,Parametros!$B$2-D176))</f>
        <v/>
      </c>
      <c r="J176">
        <f>IF(E176="","",IF(H176&lt;=0,"Pagada",IF(I176=0,"Al día",IF(I176&lt;=15,"1-15",IF(I176&lt;=30,"16-30","Más de 30")))))</f>
        <v/>
      </c>
    </row>
    <row r="177">
      <c r="A177" s="19" t="n"/>
      <c r="B177" s="19" t="n"/>
      <c r="C177" s="17" t="n"/>
      <c r="D177" s="18">
        <f>IF(C177="","",C177+4)</f>
        <v/>
      </c>
      <c r="E177" s="20" t="n"/>
      <c r="F177" s="20" t="n"/>
      <c r="G177" s="17" t="n"/>
      <c r="H177" s="24">
        <f>IF(E177="","",E177-N(F177))</f>
        <v/>
      </c>
      <c r="I177">
        <f>IF(OR(H177="",N(H177)&lt;=0),0,MAX(0,Parametros!$B$2-D177))</f>
        <v/>
      </c>
      <c r="J177">
        <f>IF(E177="","",IF(H177&lt;=0,"Pagada",IF(I177=0,"Al día",IF(I177&lt;=15,"1-15",IF(I177&lt;=30,"16-30","Más de 30")))))</f>
        <v/>
      </c>
    </row>
    <row r="178">
      <c r="A178" s="19" t="n"/>
      <c r="B178" s="19" t="n"/>
      <c r="C178" s="17" t="n"/>
      <c r="D178" s="18">
        <f>IF(C178="","",C178+4)</f>
        <v/>
      </c>
      <c r="E178" s="20" t="n"/>
      <c r="F178" s="20" t="n"/>
      <c r="G178" s="17" t="n"/>
      <c r="H178" s="24">
        <f>IF(E178="","",E178-N(F178))</f>
        <v/>
      </c>
      <c r="I178">
        <f>IF(OR(H178="",N(H178)&lt;=0),0,MAX(0,Parametros!$B$2-D178))</f>
        <v/>
      </c>
      <c r="J178">
        <f>IF(E178="","",IF(H178&lt;=0,"Pagada",IF(I178=0,"Al día",IF(I178&lt;=15,"1-15",IF(I178&lt;=30,"16-30","Más de 30")))))</f>
        <v/>
      </c>
    </row>
    <row r="179">
      <c r="A179" s="19" t="n"/>
      <c r="B179" s="19" t="n"/>
      <c r="C179" s="17" t="n"/>
      <c r="D179" s="18">
        <f>IF(C179="","",C179+4)</f>
        <v/>
      </c>
      <c r="E179" s="20" t="n"/>
      <c r="F179" s="20" t="n"/>
      <c r="G179" s="17" t="n"/>
      <c r="H179" s="24">
        <f>IF(E179="","",E179-N(F179))</f>
        <v/>
      </c>
      <c r="I179">
        <f>IF(OR(H179="",N(H179)&lt;=0),0,MAX(0,Parametros!$B$2-D179))</f>
        <v/>
      </c>
      <c r="J179">
        <f>IF(E179="","",IF(H179&lt;=0,"Pagada",IF(I179=0,"Al día",IF(I179&lt;=15,"1-15",IF(I179&lt;=30,"16-30","Más de 30")))))</f>
        <v/>
      </c>
    </row>
    <row r="180">
      <c r="A180" s="19" t="n"/>
      <c r="B180" s="19" t="n"/>
      <c r="C180" s="17" t="n"/>
      <c r="D180" s="18">
        <f>IF(C180="","",C180+4)</f>
        <v/>
      </c>
      <c r="E180" s="20" t="n"/>
      <c r="F180" s="20" t="n"/>
      <c r="G180" s="17" t="n"/>
      <c r="H180" s="24">
        <f>IF(E180="","",E180-N(F180))</f>
        <v/>
      </c>
      <c r="I180">
        <f>IF(OR(H180="",N(H180)&lt;=0),0,MAX(0,Parametros!$B$2-D180))</f>
        <v/>
      </c>
      <c r="J180">
        <f>IF(E180="","",IF(H180&lt;=0,"Pagada",IF(I180=0,"Al día",IF(I180&lt;=15,"1-15",IF(I180&lt;=30,"16-30","Más de 30")))))</f>
        <v/>
      </c>
    </row>
    <row r="181">
      <c r="A181" s="19" t="n"/>
      <c r="B181" s="19" t="n"/>
      <c r="C181" s="17" t="n"/>
      <c r="D181" s="18">
        <f>IF(C181="","",C181+4)</f>
        <v/>
      </c>
      <c r="E181" s="20" t="n"/>
      <c r="F181" s="20" t="n"/>
      <c r="G181" s="17" t="n"/>
      <c r="H181" s="24">
        <f>IF(E181="","",E181-N(F181))</f>
        <v/>
      </c>
      <c r="I181">
        <f>IF(OR(H181="",N(H181)&lt;=0),0,MAX(0,Parametros!$B$2-D181))</f>
        <v/>
      </c>
      <c r="J181">
        <f>IF(E181="","",IF(H181&lt;=0,"Pagada",IF(I181=0,"Al día",IF(I181&lt;=15,"1-15",IF(I181&lt;=30,"16-30","Más de 30")))))</f>
        <v/>
      </c>
    </row>
    <row r="182">
      <c r="A182" s="19" t="n"/>
      <c r="B182" s="19" t="n"/>
      <c r="C182" s="17" t="n"/>
      <c r="D182" s="18">
        <f>IF(C182="","",C182+4)</f>
        <v/>
      </c>
      <c r="E182" s="20" t="n"/>
      <c r="F182" s="20" t="n"/>
      <c r="G182" s="17" t="n"/>
      <c r="H182" s="24">
        <f>IF(E182="","",E182-N(F182))</f>
        <v/>
      </c>
      <c r="I182">
        <f>IF(OR(H182="",N(H182)&lt;=0),0,MAX(0,Parametros!$B$2-D182))</f>
        <v/>
      </c>
      <c r="J182">
        <f>IF(E182="","",IF(H182&lt;=0,"Pagada",IF(I182=0,"Al día",IF(I182&lt;=15,"1-15",IF(I182&lt;=30,"16-30","Más de 30")))))</f>
        <v/>
      </c>
    </row>
    <row r="183">
      <c r="A183" s="19" t="n"/>
      <c r="B183" s="19" t="n"/>
      <c r="C183" s="17" t="n"/>
      <c r="D183" s="18">
        <f>IF(C183="","",C183+4)</f>
        <v/>
      </c>
      <c r="E183" s="20" t="n"/>
      <c r="F183" s="20" t="n"/>
      <c r="G183" s="17" t="n"/>
      <c r="H183" s="24">
        <f>IF(E183="","",E183-N(F183))</f>
        <v/>
      </c>
      <c r="I183">
        <f>IF(OR(H183="",N(H183)&lt;=0),0,MAX(0,Parametros!$B$2-D183))</f>
        <v/>
      </c>
      <c r="J183">
        <f>IF(E183="","",IF(H183&lt;=0,"Pagada",IF(I183=0,"Al día",IF(I183&lt;=15,"1-15",IF(I183&lt;=30,"16-30","Más de 30")))))</f>
        <v/>
      </c>
    </row>
    <row r="184">
      <c r="A184" s="19" t="n"/>
      <c r="B184" s="19" t="n"/>
      <c r="C184" s="17" t="n"/>
      <c r="D184" s="18">
        <f>IF(C184="","",C184+4)</f>
        <v/>
      </c>
      <c r="E184" s="20" t="n"/>
      <c r="F184" s="20" t="n"/>
      <c r="G184" s="17" t="n"/>
      <c r="H184" s="24">
        <f>IF(E184="","",E184-N(F184))</f>
        <v/>
      </c>
      <c r="I184">
        <f>IF(OR(H184="",N(H184)&lt;=0),0,MAX(0,Parametros!$B$2-D184))</f>
        <v/>
      </c>
      <c r="J184">
        <f>IF(E184="","",IF(H184&lt;=0,"Pagada",IF(I184=0,"Al día",IF(I184&lt;=15,"1-15",IF(I184&lt;=30,"16-30","Más de 30")))))</f>
        <v/>
      </c>
    </row>
    <row r="185">
      <c r="A185" s="19" t="n"/>
      <c r="B185" s="19" t="n"/>
      <c r="C185" s="17" t="n"/>
      <c r="D185" s="18">
        <f>IF(C185="","",C185+4)</f>
        <v/>
      </c>
      <c r="E185" s="20" t="n"/>
      <c r="F185" s="20" t="n"/>
      <c r="G185" s="17" t="n"/>
      <c r="H185" s="24">
        <f>IF(E185="","",E185-N(F185))</f>
        <v/>
      </c>
      <c r="I185">
        <f>IF(OR(H185="",N(H185)&lt;=0),0,MAX(0,Parametros!$B$2-D185))</f>
        <v/>
      </c>
      <c r="J185">
        <f>IF(E185="","",IF(H185&lt;=0,"Pagada",IF(I185=0,"Al día",IF(I185&lt;=15,"1-15",IF(I185&lt;=30,"16-30","Más de 30")))))</f>
        <v/>
      </c>
    </row>
    <row r="186">
      <c r="A186" s="19" t="n"/>
      <c r="B186" s="19" t="n"/>
      <c r="C186" s="17" t="n"/>
      <c r="D186" s="18">
        <f>IF(C186="","",C186+4)</f>
        <v/>
      </c>
      <c r="E186" s="20" t="n"/>
      <c r="F186" s="20" t="n"/>
      <c r="G186" s="17" t="n"/>
      <c r="H186" s="24">
        <f>IF(E186="","",E186-N(F186))</f>
        <v/>
      </c>
      <c r="I186">
        <f>IF(OR(H186="",N(H186)&lt;=0),0,MAX(0,Parametros!$B$2-D186))</f>
        <v/>
      </c>
      <c r="J186">
        <f>IF(E186="","",IF(H186&lt;=0,"Pagada",IF(I186=0,"Al día",IF(I186&lt;=15,"1-15",IF(I186&lt;=30,"16-30","Más de 30")))))</f>
        <v/>
      </c>
    </row>
    <row r="187">
      <c r="A187" s="19" t="n"/>
      <c r="B187" s="19" t="n"/>
      <c r="C187" s="17" t="n"/>
      <c r="D187" s="18">
        <f>IF(C187="","",C187+4)</f>
        <v/>
      </c>
      <c r="E187" s="20" t="n"/>
      <c r="F187" s="20" t="n"/>
      <c r="G187" s="17" t="n"/>
      <c r="H187" s="24">
        <f>IF(E187="","",E187-N(F187))</f>
        <v/>
      </c>
      <c r="I187">
        <f>IF(OR(H187="",N(H187)&lt;=0),0,MAX(0,Parametros!$B$2-D187))</f>
        <v/>
      </c>
      <c r="J187">
        <f>IF(E187="","",IF(H187&lt;=0,"Pagada",IF(I187=0,"Al día",IF(I187&lt;=15,"1-15",IF(I187&lt;=30,"16-30","Más de 30")))))</f>
        <v/>
      </c>
    </row>
    <row r="188">
      <c r="A188" s="19" t="n"/>
      <c r="B188" s="19" t="n"/>
      <c r="C188" s="17" t="n"/>
      <c r="D188" s="18">
        <f>IF(C188="","",C188+4)</f>
        <v/>
      </c>
      <c r="E188" s="20" t="n"/>
      <c r="F188" s="20" t="n"/>
      <c r="G188" s="17" t="n"/>
      <c r="H188" s="24">
        <f>IF(E188="","",E188-N(F188))</f>
        <v/>
      </c>
      <c r="I188">
        <f>IF(OR(H188="",N(H188)&lt;=0),0,MAX(0,Parametros!$B$2-D188))</f>
        <v/>
      </c>
      <c r="J188">
        <f>IF(E188="","",IF(H188&lt;=0,"Pagada",IF(I188=0,"Al día",IF(I188&lt;=15,"1-15",IF(I188&lt;=30,"16-30","Más de 30")))))</f>
        <v/>
      </c>
    </row>
    <row r="189">
      <c r="A189" s="19" t="n"/>
      <c r="B189" s="19" t="n"/>
      <c r="C189" s="17" t="n"/>
      <c r="D189" s="18">
        <f>IF(C189="","",C189+4)</f>
        <v/>
      </c>
      <c r="E189" s="20" t="n"/>
      <c r="F189" s="20" t="n"/>
      <c r="G189" s="17" t="n"/>
      <c r="H189" s="24">
        <f>IF(E189="","",E189-N(F189))</f>
        <v/>
      </c>
      <c r="I189">
        <f>IF(OR(H189="",N(H189)&lt;=0),0,MAX(0,Parametros!$B$2-D189))</f>
        <v/>
      </c>
      <c r="J189">
        <f>IF(E189="","",IF(H189&lt;=0,"Pagada",IF(I189=0,"Al día",IF(I189&lt;=15,"1-15",IF(I189&lt;=30,"16-30","Más de 30")))))</f>
        <v/>
      </c>
    </row>
    <row r="190">
      <c r="A190" s="19" t="n"/>
      <c r="B190" s="19" t="n"/>
      <c r="C190" s="17" t="n"/>
      <c r="D190" s="18">
        <f>IF(C190="","",C190+4)</f>
        <v/>
      </c>
      <c r="E190" s="20" t="n"/>
      <c r="F190" s="20" t="n"/>
      <c r="G190" s="17" t="n"/>
      <c r="H190" s="24">
        <f>IF(E190="","",E190-N(F190))</f>
        <v/>
      </c>
      <c r="I190">
        <f>IF(OR(H190="",N(H190)&lt;=0),0,MAX(0,Parametros!$B$2-D190))</f>
        <v/>
      </c>
      <c r="J190">
        <f>IF(E190="","",IF(H190&lt;=0,"Pagada",IF(I190=0,"Al día",IF(I190&lt;=15,"1-15",IF(I190&lt;=30,"16-30","Más de 30")))))</f>
        <v/>
      </c>
    </row>
    <row r="191">
      <c r="A191" s="19" t="n"/>
      <c r="B191" s="19" t="n"/>
      <c r="C191" s="17" t="n"/>
      <c r="D191" s="18">
        <f>IF(C191="","",C191+4)</f>
        <v/>
      </c>
      <c r="E191" s="20" t="n"/>
      <c r="F191" s="20" t="n"/>
      <c r="G191" s="17" t="n"/>
      <c r="H191" s="24">
        <f>IF(E191="","",E191-N(F191))</f>
        <v/>
      </c>
      <c r="I191">
        <f>IF(OR(H191="",N(H191)&lt;=0),0,MAX(0,Parametros!$B$2-D191))</f>
        <v/>
      </c>
      <c r="J191">
        <f>IF(E191="","",IF(H191&lt;=0,"Pagada",IF(I191=0,"Al día",IF(I191&lt;=15,"1-15",IF(I191&lt;=30,"16-30","Más de 30")))))</f>
        <v/>
      </c>
    </row>
    <row r="192">
      <c r="A192" s="19" t="n"/>
      <c r="B192" s="19" t="n"/>
      <c r="C192" s="17" t="n"/>
      <c r="D192" s="18">
        <f>IF(C192="","",C192+4)</f>
        <v/>
      </c>
      <c r="E192" s="20" t="n"/>
      <c r="F192" s="20" t="n"/>
      <c r="G192" s="17" t="n"/>
      <c r="H192" s="24">
        <f>IF(E192="","",E192-N(F192))</f>
        <v/>
      </c>
      <c r="I192">
        <f>IF(OR(H192="",N(H192)&lt;=0),0,MAX(0,Parametros!$B$2-D192))</f>
        <v/>
      </c>
      <c r="J192">
        <f>IF(E192="","",IF(H192&lt;=0,"Pagada",IF(I192=0,"Al día",IF(I192&lt;=15,"1-15",IF(I192&lt;=30,"16-30","Más de 30")))))</f>
        <v/>
      </c>
    </row>
    <row r="193">
      <c r="A193" s="19" t="n"/>
      <c r="B193" s="19" t="n"/>
      <c r="C193" s="17" t="n"/>
      <c r="D193" s="18">
        <f>IF(C193="","",C193+4)</f>
        <v/>
      </c>
      <c r="E193" s="20" t="n"/>
      <c r="F193" s="20" t="n"/>
      <c r="G193" s="17" t="n"/>
      <c r="H193" s="24">
        <f>IF(E193="","",E193-N(F193))</f>
        <v/>
      </c>
      <c r="I193">
        <f>IF(OR(H193="",N(H193)&lt;=0),0,MAX(0,Parametros!$B$2-D193))</f>
        <v/>
      </c>
      <c r="J193">
        <f>IF(E193="","",IF(H193&lt;=0,"Pagada",IF(I193=0,"Al día",IF(I193&lt;=15,"1-15",IF(I193&lt;=30,"16-30","Más de 30")))))</f>
        <v/>
      </c>
    </row>
    <row r="194">
      <c r="A194" s="19" t="n"/>
      <c r="B194" s="19" t="n"/>
      <c r="C194" s="17" t="n"/>
      <c r="D194" s="18">
        <f>IF(C194="","",C194+4)</f>
        <v/>
      </c>
      <c r="E194" s="20" t="n"/>
      <c r="F194" s="20" t="n"/>
      <c r="G194" s="17" t="n"/>
      <c r="H194" s="24">
        <f>IF(E194="","",E194-N(F194))</f>
        <v/>
      </c>
      <c r="I194">
        <f>IF(OR(H194="",N(H194)&lt;=0),0,MAX(0,Parametros!$B$2-D194))</f>
        <v/>
      </c>
      <c r="J194">
        <f>IF(E194="","",IF(H194&lt;=0,"Pagada",IF(I194=0,"Al día",IF(I194&lt;=15,"1-15",IF(I194&lt;=30,"16-30","Más de 30")))))</f>
        <v/>
      </c>
    </row>
    <row r="195">
      <c r="A195" s="19" t="n"/>
      <c r="B195" s="19" t="n"/>
      <c r="C195" s="17" t="n"/>
      <c r="D195" s="18">
        <f>IF(C195="","",C195+4)</f>
        <v/>
      </c>
      <c r="E195" s="20" t="n"/>
      <c r="F195" s="20" t="n"/>
      <c r="G195" s="17" t="n"/>
      <c r="H195" s="24">
        <f>IF(E195="","",E195-N(F195))</f>
        <v/>
      </c>
      <c r="I195">
        <f>IF(OR(H195="",N(H195)&lt;=0),0,MAX(0,Parametros!$B$2-D195))</f>
        <v/>
      </c>
      <c r="J195">
        <f>IF(E195="","",IF(H195&lt;=0,"Pagada",IF(I195=0,"Al día",IF(I195&lt;=15,"1-15",IF(I195&lt;=30,"16-30","Más de 30")))))</f>
        <v/>
      </c>
    </row>
    <row r="196">
      <c r="A196" s="19" t="n"/>
      <c r="B196" s="19" t="n"/>
      <c r="C196" s="17" t="n"/>
      <c r="D196" s="18">
        <f>IF(C196="","",C196+4)</f>
        <v/>
      </c>
      <c r="E196" s="20" t="n"/>
      <c r="F196" s="20" t="n"/>
      <c r="G196" s="17" t="n"/>
      <c r="H196" s="24">
        <f>IF(E196="","",E196-N(F196))</f>
        <v/>
      </c>
      <c r="I196">
        <f>IF(OR(H196="",N(H196)&lt;=0),0,MAX(0,Parametros!$B$2-D196))</f>
        <v/>
      </c>
      <c r="J196">
        <f>IF(E196="","",IF(H196&lt;=0,"Pagada",IF(I196=0,"Al día",IF(I196&lt;=15,"1-15",IF(I196&lt;=30,"16-30","Más de 30")))))</f>
        <v/>
      </c>
    </row>
    <row r="197">
      <c r="A197" s="19" t="n"/>
      <c r="B197" s="19" t="n"/>
      <c r="C197" s="17" t="n"/>
      <c r="D197" s="18">
        <f>IF(C197="","",C197+4)</f>
        <v/>
      </c>
      <c r="E197" s="20" t="n"/>
      <c r="F197" s="20" t="n"/>
      <c r="G197" s="17" t="n"/>
      <c r="H197" s="24">
        <f>IF(E197="","",E197-N(F197))</f>
        <v/>
      </c>
      <c r="I197">
        <f>IF(OR(H197="",N(H197)&lt;=0),0,MAX(0,Parametros!$B$2-D197))</f>
        <v/>
      </c>
      <c r="J197">
        <f>IF(E197="","",IF(H197&lt;=0,"Pagada",IF(I197=0,"Al día",IF(I197&lt;=15,"1-15",IF(I197&lt;=30,"16-30","Más de 30")))))</f>
        <v/>
      </c>
    </row>
    <row r="198">
      <c r="A198" s="19" t="n"/>
      <c r="B198" s="19" t="n"/>
      <c r="C198" s="17" t="n"/>
      <c r="D198" s="18">
        <f>IF(C198="","",C198+4)</f>
        <v/>
      </c>
      <c r="E198" s="20" t="n"/>
      <c r="F198" s="20" t="n"/>
      <c r="G198" s="17" t="n"/>
      <c r="H198" s="24">
        <f>IF(E198="","",E198-N(F198))</f>
        <v/>
      </c>
      <c r="I198">
        <f>IF(OR(H198="",N(H198)&lt;=0),0,MAX(0,Parametros!$B$2-D198))</f>
        <v/>
      </c>
      <c r="J198">
        <f>IF(E198="","",IF(H198&lt;=0,"Pagada",IF(I198=0,"Al día",IF(I198&lt;=15,"1-15",IF(I198&lt;=30,"16-30","Más de 30")))))</f>
        <v/>
      </c>
    </row>
    <row r="199">
      <c r="A199" s="19" t="n"/>
      <c r="B199" s="19" t="n"/>
      <c r="C199" s="17" t="n"/>
      <c r="D199" s="18">
        <f>IF(C199="","",C199+4)</f>
        <v/>
      </c>
      <c r="E199" s="20" t="n"/>
      <c r="F199" s="20" t="n"/>
      <c r="G199" s="17" t="n"/>
      <c r="H199" s="24">
        <f>IF(E199="","",E199-N(F199))</f>
        <v/>
      </c>
      <c r="I199">
        <f>IF(OR(H199="",N(H199)&lt;=0),0,MAX(0,Parametros!$B$2-D199))</f>
        <v/>
      </c>
      <c r="J199">
        <f>IF(E199="","",IF(H199&lt;=0,"Pagada",IF(I199=0,"Al día",IF(I199&lt;=15,"1-15",IF(I199&lt;=30,"16-30","Más de 30")))))</f>
        <v/>
      </c>
    </row>
    <row r="200">
      <c r="A200" s="19" t="n"/>
      <c r="B200" s="19" t="n"/>
      <c r="C200" s="17" t="n"/>
      <c r="D200" s="18">
        <f>IF(C200="","",C200+4)</f>
        <v/>
      </c>
      <c r="E200" s="20" t="n"/>
      <c r="F200" s="20" t="n"/>
      <c r="G200" s="17" t="n"/>
      <c r="H200" s="24">
        <f>IF(E200="","",E200-N(F200))</f>
        <v/>
      </c>
      <c r="I200">
        <f>IF(OR(H200="",N(H200)&lt;=0),0,MAX(0,Parametros!$B$2-D200))</f>
        <v/>
      </c>
      <c r="J200">
        <f>IF(E200="","",IF(H200&lt;=0,"Pagada",IF(I200=0,"Al día",IF(I200&lt;=15,"1-15",IF(I200&lt;=30,"16-30","Más de 30")))))</f>
        <v/>
      </c>
    </row>
    <row r="201">
      <c r="A201" s="19" t="n"/>
      <c r="B201" s="19" t="n"/>
      <c r="C201" s="17" t="n"/>
      <c r="D201" s="18">
        <f>IF(C201="","",C201+4)</f>
        <v/>
      </c>
      <c r="E201" s="20" t="n"/>
      <c r="F201" s="20" t="n"/>
      <c r="G201" s="17" t="n"/>
      <c r="H201" s="24">
        <f>IF(E201="","",E201-N(F201))</f>
        <v/>
      </c>
      <c r="I201">
        <f>IF(OR(H201="",N(H201)&lt;=0),0,MAX(0,Parametros!$B$2-D201))</f>
        <v/>
      </c>
      <c r="J201">
        <f>IF(E201="","",IF(H201&lt;=0,"Pagada",IF(I201=0,"Al día",IF(I201&lt;=15,"1-15",IF(I201&lt;=30,"16-30","Más de 30")))))</f>
        <v/>
      </c>
    </row>
    <row r="202">
      <c r="A202" s="19" t="n"/>
      <c r="B202" s="19" t="n"/>
      <c r="C202" s="17" t="n"/>
      <c r="D202" s="18">
        <f>IF(C202="","",C202+4)</f>
        <v/>
      </c>
      <c r="E202" s="20" t="n"/>
      <c r="F202" s="20" t="n"/>
      <c r="G202" s="17" t="n"/>
      <c r="H202" s="24">
        <f>IF(E202="","",E202-N(F202))</f>
        <v/>
      </c>
      <c r="I202">
        <f>IF(OR(H202="",N(H202)&lt;=0),0,MAX(0,Parametros!$B$2-D202))</f>
        <v/>
      </c>
      <c r="J202">
        <f>IF(E202="","",IF(H202&lt;=0,"Pagada",IF(I202=0,"Al día",IF(I202&lt;=15,"1-15",IF(I202&lt;=30,"16-30","Más de 30")))))</f>
        <v/>
      </c>
    </row>
    <row r="203">
      <c r="A203" s="19" t="n"/>
      <c r="B203" s="19" t="n"/>
      <c r="C203" s="17" t="n"/>
      <c r="D203" s="18">
        <f>IF(C203="","",C203+4)</f>
        <v/>
      </c>
      <c r="E203" s="20" t="n"/>
      <c r="F203" s="20" t="n"/>
      <c r="G203" s="17" t="n"/>
      <c r="H203" s="24">
        <f>IF(E203="","",E203-N(F203))</f>
        <v/>
      </c>
      <c r="I203">
        <f>IF(OR(H203="",N(H203)&lt;=0),0,MAX(0,Parametros!$B$2-D203))</f>
        <v/>
      </c>
      <c r="J203">
        <f>IF(E203="","",IF(H203&lt;=0,"Pagada",IF(I203=0,"Al día",IF(I203&lt;=15,"1-15",IF(I203&lt;=30,"16-30","Más de 30")))))</f>
        <v/>
      </c>
    </row>
    <row r="204">
      <c r="A204" s="19" t="n"/>
      <c r="B204" s="19" t="n"/>
      <c r="C204" s="17" t="n"/>
      <c r="D204" s="18">
        <f>IF(C204="","",C204+4)</f>
        <v/>
      </c>
      <c r="E204" s="20" t="n"/>
      <c r="F204" s="20" t="n"/>
      <c r="G204" s="17" t="n"/>
      <c r="H204" s="24">
        <f>IF(E204="","",E204-N(F204))</f>
        <v/>
      </c>
      <c r="I204">
        <f>IF(OR(H204="",N(H204)&lt;=0),0,MAX(0,Parametros!$B$2-D204))</f>
        <v/>
      </c>
      <c r="J204">
        <f>IF(E204="","",IF(H204&lt;=0,"Pagada",IF(I204=0,"Al día",IF(I204&lt;=15,"1-15",IF(I204&lt;=30,"16-30","Más de 30")))))</f>
        <v/>
      </c>
    </row>
    <row r="205">
      <c r="A205" s="19" t="n"/>
      <c r="B205" s="19" t="n"/>
      <c r="C205" s="17" t="n"/>
      <c r="D205" s="18">
        <f>IF(C205="","",C205+4)</f>
        <v/>
      </c>
      <c r="E205" s="20" t="n"/>
      <c r="F205" s="20" t="n"/>
      <c r="G205" s="17" t="n"/>
      <c r="H205" s="24">
        <f>IF(E205="","",E205-N(F205))</f>
        <v/>
      </c>
      <c r="I205">
        <f>IF(OR(H205="",N(H205)&lt;=0),0,MAX(0,Parametros!$B$2-D205))</f>
        <v/>
      </c>
      <c r="J205">
        <f>IF(E205="","",IF(H205&lt;=0,"Pagada",IF(I205=0,"Al día",IF(I205&lt;=15,"1-15",IF(I205&lt;=30,"16-30","Más de 30")))))</f>
        <v/>
      </c>
    </row>
    <row r="206">
      <c r="A206" s="19" t="n"/>
      <c r="B206" s="19" t="n"/>
      <c r="C206" s="17" t="n"/>
      <c r="D206" s="18">
        <f>IF(C206="","",C206+4)</f>
        <v/>
      </c>
      <c r="E206" s="20" t="n"/>
      <c r="F206" s="20" t="n"/>
      <c r="G206" s="17" t="n"/>
      <c r="H206" s="24">
        <f>IF(E206="","",E206-N(F206))</f>
        <v/>
      </c>
      <c r="I206">
        <f>IF(OR(H206="",N(H206)&lt;=0),0,MAX(0,Parametros!$B$2-D206))</f>
        <v/>
      </c>
      <c r="J206">
        <f>IF(E206="","",IF(H206&lt;=0,"Pagada",IF(I206=0,"Al día",IF(I206&lt;=15,"1-15",IF(I206&lt;=30,"16-30","Más de 30")))))</f>
        <v/>
      </c>
    </row>
    <row r="207">
      <c r="A207" s="19" t="n"/>
      <c r="B207" s="19" t="n"/>
      <c r="C207" s="17" t="n"/>
      <c r="D207" s="18">
        <f>IF(C207="","",C207+4)</f>
        <v/>
      </c>
      <c r="E207" s="20" t="n"/>
      <c r="F207" s="20" t="n"/>
      <c r="G207" s="17" t="n"/>
      <c r="H207" s="24">
        <f>IF(E207="","",E207-N(F207))</f>
        <v/>
      </c>
      <c r="I207">
        <f>IF(OR(H207="",N(H207)&lt;=0),0,MAX(0,Parametros!$B$2-D207))</f>
        <v/>
      </c>
      <c r="J207">
        <f>IF(E207="","",IF(H207&lt;=0,"Pagada",IF(I207=0,"Al día",IF(I207&lt;=15,"1-15",IF(I207&lt;=30,"16-30","Más de 30")))))</f>
        <v/>
      </c>
    </row>
    <row r="208">
      <c r="A208" s="19" t="n"/>
      <c r="B208" s="19" t="n"/>
      <c r="C208" s="17" t="n"/>
      <c r="D208" s="18">
        <f>IF(C208="","",C208+4)</f>
        <v/>
      </c>
      <c r="E208" s="20" t="n"/>
      <c r="F208" s="20" t="n"/>
      <c r="G208" s="17" t="n"/>
      <c r="H208" s="24">
        <f>IF(E208="","",E208-N(F208))</f>
        <v/>
      </c>
      <c r="I208">
        <f>IF(OR(H208="",N(H208)&lt;=0),0,MAX(0,Parametros!$B$2-D208))</f>
        <v/>
      </c>
      <c r="J208">
        <f>IF(E208="","",IF(H208&lt;=0,"Pagada",IF(I208=0,"Al día",IF(I208&lt;=15,"1-15",IF(I208&lt;=30,"16-30","Más de 30")))))</f>
        <v/>
      </c>
    </row>
    <row r="209">
      <c r="A209" s="19" t="n"/>
      <c r="B209" s="19" t="n"/>
      <c r="C209" s="17" t="n"/>
      <c r="D209" s="18">
        <f>IF(C209="","",C209+4)</f>
        <v/>
      </c>
      <c r="E209" s="20" t="n"/>
      <c r="F209" s="20" t="n"/>
      <c r="G209" s="17" t="n"/>
      <c r="H209" s="24">
        <f>IF(E209="","",E209-N(F209))</f>
        <v/>
      </c>
      <c r="I209">
        <f>IF(OR(H209="",N(H209)&lt;=0),0,MAX(0,Parametros!$B$2-D209))</f>
        <v/>
      </c>
      <c r="J209">
        <f>IF(E209="","",IF(H209&lt;=0,"Pagada",IF(I209=0,"Al día",IF(I209&lt;=15,"1-15",IF(I209&lt;=30,"16-30","Más de 30")))))</f>
        <v/>
      </c>
    </row>
    <row r="210">
      <c r="A210" s="19" t="n"/>
      <c r="B210" s="19" t="n"/>
      <c r="C210" s="17" t="n"/>
      <c r="D210" s="18">
        <f>IF(C210="","",C210+4)</f>
        <v/>
      </c>
      <c r="E210" s="20" t="n"/>
      <c r="F210" s="20" t="n"/>
      <c r="G210" s="17" t="n"/>
      <c r="H210" s="24">
        <f>IF(E210="","",E210-N(F210))</f>
        <v/>
      </c>
      <c r="I210">
        <f>IF(OR(H210="",N(H210)&lt;=0),0,MAX(0,Parametros!$B$2-D210))</f>
        <v/>
      </c>
      <c r="J210">
        <f>IF(E210="","",IF(H210&lt;=0,"Pagada",IF(I210=0,"Al día",IF(I210&lt;=15,"1-15",IF(I210&lt;=30,"16-30","Más de 30")))))</f>
        <v/>
      </c>
    </row>
    <row r="211">
      <c r="A211" s="19" t="n"/>
      <c r="B211" s="19" t="n"/>
      <c r="C211" s="17" t="n"/>
      <c r="D211" s="18">
        <f>IF(C211="","",C211+4)</f>
        <v/>
      </c>
      <c r="E211" s="20" t="n"/>
      <c r="F211" s="20" t="n"/>
      <c r="G211" s="17" t="n"/>
      <c r="H211" s="24">
        <f>IF(E211="","",E211-N(F211))</f>
        <v/>
      </c>
      <c r="I211">
        <f>IF(OR(H211="",N(H211)&lt;=0),0,MAX(0,Parametros!$B$2-D211))</f>
        <v/>
      </c>
      <c r="J211">
        <f>IF(E211="","",IF(H211&lt;=0,"Pagada",IF(I211=0,"Al día",IF(I211&lt;=15,"1-15",IF(I211&lt;=30,"16-30","Más de 30")))))</f>
        <v/>
      </c>
    </row>
    <row r="212">
      <c r="A212" s="19" t="n"/>
      <c r="B212" s="19" t="n"/>
      <c r="C212" s="17" t="n"/>
      <c r="D212" s="18">
        <f>IF(C212="","",C212+4)</f>
        <v/>
      </c>
      <c r="E212" s="20" t="n"/>
      <c r="F212" s="20" t="n"/>
      <c r="G212" s="17" t="n"/>
      <c r="H212" s="24">
        <f>IF(E212="","",E212-N(F212))</f>
        <v/>
      </c>
      <c r="I212">
        <f>IF(OR(H212="",N(H212)&lt;=0),0,MAX(0,Parametros!$B$2-D212))</f>
        <v/>
      </c>
      <c r="J212">
        <f>IF(E212="","",IF(H212&lt;=0,"Pagada",IF(I212=0,"Al día",IF(I212&lt;=15,"1-15",IF(I212&lt;=30,"16-30","Más de 30")))))</f>
        <v/>
      </c>
    </row>
    <row r="213">
      <c r="A213" s="19" t="n"/>
      <c r="B213" s="19" t="n"/>
      <c r="C213" s="17" t="n"/>
      <c r="D213" s="18">
        <f>IF(C213="","",C213+4)</f>
        <v/>
      </c>
      <c r="E213" s="20" t="n"/>
      <c r="F213" s="20" t="n"/>
      <c r="G213" s="17" t="n"/>
      <c r="H213" s="24">
        <f>IF(E213="","",E213-N(F213))</f>
        <v/>
      </c>
      <c r="I213">
        <f>IF(OR(H213="",N(H213)&lt;=0),0,MAX(0,Parametros!$B$2-D213))</f>
        <v/>
      </c>
      <c r="J213">
        <f>IF(E213="","",IF(H213&lt;=0,"Pagada",IF(I213=0,"Al día",IF(I213&lt;=15,"1-15",IF(I213&lt;=30,"16-30","Más de 30")))))</f>
        <v/>
      </c>
    </row>
    <row r="214">
      <c r="A214" s="19" t="n"/>
      <c r="B214" s="19" t="n"/>
      <c r="C214" s="17" t="n"/>
      <c r="D214" s="18">
        <f>IF(C214="","",C214+4)</f>
        <v/>
      </c>
      <c r="E214" s="20" t="n"/>
      <c r="F214" s="20" t="n"/>
      <c r="G214" s="17" t="n"/>
      <c r="H214" s="24">
        <f>IF(E214="","",E214-N(F214))</f>
        <v/>
      </c>
      <c r="I214">
        <f>IF(OR(H214="",N(H214)&lt;=0),0,MAX(0,Parametros!$B$2-D214))</f>
        <v/>
      </c>
      <c r="J214">
        <f>IF(E214="","",IF(H214&lt;=0,"Pagada",IF(I214=0,"Al día",IF(I214&lt;=15,"1-15",IF(I214&lt;=30,"16-30","Más de 30")))))</f>
        <v/>
      </c>
    </row>
    <row r="215">
      <c r="A215" s="19" t="n"/>
      <c r="B215" s="19" t="n"/>
      <c r="C215" s="17" t="n"/>
      <c r="D215" s="18">
        <f>IF(C215="","",C215+4)</f>
        <v/>
      </c>
      <c r="E215" s="20" t="n"/>
      <c r="F215" s="20" t="n"/>
      <c r="G215" s="17" t="n"/>
      <c r="H215" s="24">
        <f>IF(E215="","",E215-N(F215))</f>
        <v/>
      </c>
      <c r="I215">
        <f>IF(OR(H215="",N(H215)&lt;=0),0,MAX(0,Parametros!$B$2-D215))</f>
        <v/>
      </c>
      <c r="J215">
        <f>IF(E215="","",IF(H215&lt;=0,"Pagada",IF(I215=0,"Al día",IF(I215&lt;=15,"1-15",IF(I215&lt;=30,"16-30","Más de 30")))))</f>
        <v/>
      </c>
    </row>
    <row r="216">
      <c r="A216" s="19" t="n"/>
      <c r="B216" s="19" t="n"/>
      <c r="C216" s="17" t="n"/>
      <c r="D216" s="18">
        <f>IF(C216="","",C216+4)</f>
        <v/>
      </c>
      <c r="E216" s="20" t="n"/>
      <c r="F216" s="20" t="n"/>
      <c r="G216" s="17" t="n"/>
      <c r="H216" s="24">
        <f>IF(E216="","",E216-N(F216))</f>
        <v/>
      </c>
      <c r="I216">
        <f>IF(OR(H216="",N(H216)&lt;=0),0,MAX(0,Parametros!$B$2-D216))</f>
        <v/>
      </c>
      <c r="J216">
        <f>IF(E216="","",IF(H216&lt;=0,"Pagada",IF(I216=0,"Al día",IF(I216&lt;=15,"1-15",IF(I216&lt;=30,"16-30","Más de 30")))))</f>
        <v/>
      </c>
    </row>
    <row r="217">
      <c r="A217" s="19" t="n"/>
      <c r="B217" s="19" t="n"/>
      <c r="C217" s="17" t="n"/>
      <c r="D217" s="18">
        <f>IF(C217="","",C217+4)</f>
        <v/>
      </c>
      <c r="E217" s="20" t="n"/>
      <c r="F217" s="20" t="n"/>
      <c r="G217" s="17" t="n"/>
      <c r="H217" s="24">
        <f>IF(E217="","",E217-N(F217))</f>
        <v/>
      </c>
      <c r="I217">
        <f>IF(OR(H217="",N(H217)&lt;=0),0,MAX(0,Parametros!$B$2-D217))</f>
        <v/>
      </c>
      <c r="J217">
        <f>IF(E217="","",IF(H217&lt;=0,"Pagada",IF(I217=0,"Al día",IF(I217&lt;=15,"1-15",IF(I217&lt;=30,"16-30","Más de 30")))))</f>
        <v/>
      </c>
    </row>
    <row r="218">
      <c r="A218" s="19" t="n"/>
      <c r="B218" s="19" t="n"/>
      <c r="C218" s="17" t="n"/>
      <c r="D218" s="18">
        <f>IF(C218="","",C218+4)</f>
        <v/>
      </c>
      <c r="E218" s="20" t="n"/>
      <c r="F218" s="20" t="n"/>
      <c r="G218" s="17" t="n"/>
      <c r="H218" s="24">
        <f>IF(E218="","",E218-N(F218))</f>
        <v/>
      </c>
      <c r="I218">
        <f>IF(OR(H218="",N(H218)&lt;=0),0,MAX(0,Parametros!$B$2-D218))</f>
        <v/>
      </c>
      <c r="J218">
        <f>IF(E218="","",IF(H218&lt;=0,"Pagada",IF(I218=0,"Al día",IF(I218&lt;=15,"1-15",IF(I218&lt;=30,"16-30","Más de 30")))))</f>
        <v/>
      </c>
    </row>
    <row r="219">
      <c r="A219" s="19" t="n"/>
      <c r="B219" s="19" t="n"/>
      <c r="C219" s="17" t="n"/>
      <c r="D219" s="18">
        <f>IF(C219="","",C219+4)</f>
        <v/>
      </c>
      <c r="E219" s="20" t="n"/>
      <c r="F219" s="20" t="n"/>
      <c r="G219" s="17" t="n"/>
      <c r="H219" s="24">
        <f>IF(E219="","",E219-N(F219))</f>
        <v/>
      </c>
      <c r="I219">
        <f>IF(OR(H219="",N(H219)&lt;=0),0,MAX(0,Parametros!$B$2-D219))</f>
        <v/>
      </c>
      <c r="J219">
        <f>IF(E219="","",IF(H219&lt;=0,"Pagada",IF(I219=0,"Al día",IF(I219&lt;=15,"1-15",IF(I219&lt;=30,"16-30","Más de 30")))))</f>
        <v/>
      </c>
    </row>
    <row r="220">
      <c r="A220" s="19" t="n"/>
      <c r="B220" s="19" t="n"/>
      <c r="C220" s="17" t="n"/>
      <c r="D220" s="18">
        <f>IF(C220="","",C220+4)</f>
        <v/>
      </c>
      <c r="E220" s="20" t="n"/>
      <c r="F220" s="20" t="n"/>
      <c r="G220" s="17" t="n"/>
      <c r="H220" s="24">
        <f>IF(E220="","",E220-N(F220))</f>
        <v/>
      </c>
      <c r="I220">
        <f>IF(OR(H220="",N(H220)&lt;=0),0,MAX(0,Parametros!$B$2-D220))</f>
        <v/>
      </c>
      <c r="J220">
        <f>IF(E220="","",IF(H220&lt;=0,"Pagada",IF(I220=0,"Al día",IF(I220&lt;=15,"1-15",IF(I220&lt;=30,"16-30","Más de 30")))))</f>
        <v/>
      </c>
    </row>
    <row r="221">
      <c r="A221" s="19" t="n"/>
      <c r="B221" s="19" t="n"/>
      <c r="C221" s="17" t="n"/>
      <c r="D221" s="18">
        <f>IF(C221="","",C221+4)</f>
        <v/>
      </c>
      <c r="E221" s="20" t="n"/>
      <c r="F221" s="20" t="n"/>
      <c r="G221" s="17" t="n"/>
      <c r="H221" s="24">
        <f>IF(E221="","",E221-N(F221))</f>
        <v/>
      </c>
      <c r="I221">
        <f>IF(OR(H221="",N(H221)&lt;=0),0,MAX(0,Parametros!$B$2-D221))</f>
        <v/>
      </c>
      <c r="J221">
        <f>IF(E221="","",IF(H221&lt;=0,"Pagada",IF(I221=0,"Al día",IF(I221&lt;=15,"1-15",IF(I221&lt;=30,"16-30","Más de 30")))))</f>
        <v/>
      </c>
    </row>
    <row r="222">
      <c r="A222" s="19" t="n"/>
      <c r="B222" s="19" t="n"/>
      <c r="C222" s="17" t="n"/>
      <c r="D222" s="18">
        <f>IF(C222="","",C222+4)</f>
        <v/>
      </c>
      <c r="E222" s="20" t="n"/>
      <c r="F222" s="20" t="n"/>
      <c r="G222" s="17" t="n"/>
      <c r="H222" s="24">
        <f>IF(E222="","",E222-N(F222))</f>
        <v/>
      </c>
      <c r="I222">
        <f>IF(OR(H222="",N(H222)&lt;=0),0,MAX(0,Parametros!$B$2-D222))</f>
        <v/>
      </c>
      <c r="J222">
        <f>IF(E222="","",IF(H222&lt;=0,"Pagada",IF(I222=0,"Al día",IF(I222&lt;=15,"1-15",IF(I222&lt;=30,"16-30","Más de 30")))))</f>
        <v/>
      </c>
    </row>
    <row r="223">
      <c r="A223" s="19" t="n"/>
      <c r="B223" s="19" t="n"/>
      <c r="C223" s="17" t="n"/>
      <c r="D223" s="18">
        <f>IF(C223="","",C223+4)</f>
        <v/>
      </c>
      <c r="E223" s="20" t="n"/>
      <c r="F223" s="20" t="n"/>
      <c r="G223" s="17" t="n"/>
      <c r="H223" s="24">
        <f>IF(E223="","",E223-N(F223))</f>
        <v/>
      </c>
      <c r="I223">
        <f>IF(OR(H223="",N(H223)&lt;=0),0,MAX(0,Parametros!$B$2-D223))</f>
        <v/>
      </c>
      <c r="J223">
        <f>IF(E223="","",IF(H223&lt;=0,"Pagada",IF(I223=0,"Al día",IF(I223&lt;=15,"1-15",IF(I223&lt;=30,"16-30","Más de 30")))))</f>
        <v/>
      </c>
    </row>
    <row r="224">
      <c r="A224" s="19" t="n"/>
      <c r="B224" s="19" t="n"/>
      <c r="C224" s="17" t="n"/>
      <c r="D224" s="18">
        <f>IF(C224="","",C224+4)</f>
        <v/>
      </c>
      <c r="E224" s="20" t="n"/>
      <c r="F224" s="20" t="n"/>
      <c r="G224" s="17" t="n"/>
      <c r="H224" s="24">
        <f>IF(E224="","",E224-N(F224))</f>
        <v/>
      </c>
      <c r="I224">
        <f>IF(OR(H224="",N(H224)&lt;=0),0,MAX(0,Parametros!$B$2-D224))</f>
        <v/>
      </c>
      <c r="J224">
        <f>IF(E224="","",IF(H224&lt;=0,"Pagada",IF(I224=0,"Al día",IF(I224&lt;=15,"1-15",IF(I224&lt;=30,"16-30","Más de 30")))))</f>
        <v/>
      </c>
    </row>
    <row r="225">
      <c r="A225" s="19" t="n"/>
      <c r="B225" s="19" t="n"/>
      <c r="C225" s="17" t="n"/>
      <c r="D225" s="18">
        <f>IF(C225="","",C225+4)</f>
        <v/>
      </c>
      <c r="E225" s="20" t="n"/>
      <c r="F225" s="20" t="n"/>
      <c r="G225" s="17" t="n"/>
      <c r="H225" s="24">
        <f>IF(E225="","",E225-N(F225))</f>
        <v/>
      </c>
      <c r="I225">
        <f>IF(OR(H225="",N(H225)&lt;=0),0,MAX(0,Parametros!$B$2-D225))</f>
        <v/>
      </c>
      <c r="J225">
        <f>IF(E225="","",IF(H225&lt;=0,"Pagada",IF(I225=0,"Al día",IF(I225&lt;=15,"1-15",IF(I225&lt;=30,"16-30","Más de 30")))))</f>
        <v/>
      </c>
    </row>
    <row r="226">
      <c r="A226" s="19" t="n"/>
      <c r="B226" s="19" t="n"/>
      <c r="C226" s="17" t="n"/>
      <c r="D226" s="18">
        <f>IF(C226="","",C226+4)</f>
        <v/>
      </c>
      <c r="E226" s="20" t="n"/>
      <c r="F226" s="20" t="n"/>
      <c r="G226" s="17" t="n"/>
      <c r="H226" s="24">
        <f>IF(E226="","",E226-N(F226))</f>
        <v/>
      </c>
      <c r="I226">
        <f>IF(OR(H226="",N(H226)&lt;=0),0,MAX(0,Parametros!$B$2-D226))</f>
        <v/>
      </c>
      <c r="J226">
        <f>IF(E226="","",IF(H226&lt;=0,"Pagada",IF(I226=0,"Al día",IF(I226&lt;=15,"1-15",IF(I226&lt;=30,"16-30","Más de 30")))))</f>
        <v/>
      </c>
    </row>
    <row r="227">
      <c r="A227" s="19" t="n"/>
      <c r="B227" s="19" t="n"/>
      <c r="C227" s="17" t="n"/>
      <c r="D227" s="18">
        <f>IF(C227="","",C227+4)</f>
        <v/>
      </c>
      <c r="E227" s="20" t="n"/>
      <c r="F227" s="20" t="n"/>
      <c r="G227" s="17" t="n"/>
      <c r="H227" s="24">
        <f>IF(E227="","",E227-N(F227))</f>
        <v/>
      </c>
      <c r="I227">
        <f>IF(OR(H227="",N(H227)&lt;=0),0,MAX(0,Parametros!$B$2-D227))</f>
        <v/>
      </c>
      <c r="J227">
        <f>IF(E227="","",IF(H227&lt;=0,"Pagada",IF(I227=0,"Al día",IF(I227&lt;=15,"1-15",IF(I227&lt;=30,"16-30","Más de 30")))))</f>
        <v/>
      </c>
    </row>
    <row r="228">
      <c r="A228" s="19" t="n"/>
      <c r="B228" s="19" t="n"/>
      <c r="C228" s="17" t="n"/>
      <c r="D228" s="18">
        <f>IF(C228="","",C228+4)</f>
        <v/>
      </c>
      <c r="E228" s="20" t="n"/>
      <c r="F228" s="20" t="n"/>
      <c r="G228" s="17" t="n"/>
      <c r="H228" s="24">
        <f>IF(E228="","",E228-N(F228))</f>
        <v/>
      </c>
      <c r="I228">
        <f>IF(OR(H228="",N(H228)&lt;=0),0,MAX(0,Parametros!$B$2-D228))</f>
        <v/>
      </c>
      <c r="J228">
        <f>IF(E228="","",IF(H228&lt;=0,"Pagada",IF(I228=0,"Al día",IF(I228&lt;=15,"1-15",IF(I228&lt;=30,"16-30","Más de 30")))))</f>
        <v/>
      </c>
    </row>
    <row r="229">
      <c r="A229" s="19" t="n"/>
      <c r="B229" s="19" t="n"/>
      <c r="C229" s="17" t="n"/>
      <c r="D229" s="18">
        <f>IF(C229="","",C229+4)</f>
        <v/>
      </c>
      <c r="E229" s="20" t="n"/>
      <c r="F229" s="20" t="n"/>
      <c r="G229" s="17" t="n"/>
      <c r="H229" s="24">
        <f>IF(E229="","",E229-N(F229))</f>
        <v/>
      </c>
      <c r="I229">
        <f>IF(OR(H229="",N(H229)&lt;=0),0,MAX(0,Parametros!$B$2-D229))</f>
        <v/>
      </c>
      <c r="J229">
        <f>IF(E229="","",IF(H229&lt;=0,"Pagada",IF(I229=0,"Al día",IF(I229&lt;=15,"1-15",IF(I229&lt;=30,"16-30","Más de 30")))))</f>
        <v/>
      </c>
    </row>
    <row r="230">
      <c r="A230" s="19" t="n"/>
      <c r="B230" s="19" t="n"/>
      <c r="C230" s="17" t="n"/>
      <c r="D230" s="18">
        <f>IF(C230="","",C230+4)</f>
        <v/>
      </c>
      <c r="E230" s="20" t="n"/>
      <c r="F230" s="20" t="n"/>
      <c r="G230" s="17" t="n"/>
      <c r="H230" s="24">
        <f>IF(E230="","",E230-N(F230))</f>
        <v/>
      </c>
      <c r="I230">
        <f>IF(OR(H230="",N(H230)&lt;=0),0,MAX(0,Parametros!$B$2-D230))</f>
        <v/>
      </c>
      <c r="J230">
        <f>IF(E230="","",IF(H230&lt;=0,"Pagada",IF(I230=0,"Al día",IF(I230&lt;=15,"1-15",IF(I230&lt;=30,"16-30","Más de 30")))))</f>
        <v/>
      </c>
    </row>
    <row r="231">
      <c r="A231" s="19" t="n"/>
      <c r="B231" s="19" t="n"/>
      <c r="C231" s="17" t="n"/>
      <c r="D231" s="18">
        <f>IF(C231="","",C231+4)</f>
        <v/>
      </c>
      <c r="E231" s="20" t="n"/>
      <c r="F231" s="20" t="n"/>
      <c r="G231" s="17" t="n"/>
      <c r="H231" s="24">
        <f>IF(E231="","",E231-N(F231))</f>
        <v/>
      </c>
      <c r="I231">
        <f>IF(OR(H231="",N(H231)&lt;=0),0,MAX(0,Parametros!$B$2-D231))</f>
        <v/>
      </c>
      <c r="J231">
        <f>IF(E231="","",IF(H231&lt;=0,"Pagada",IF(I231=0,"Al día",IF(I231&lt;=15,"1-15",IF(I231&lt;=30,"16-30","Más de 30")))))</f>
        <v/>
      </c>
    </row>
    <row r="232">
      <c r="A232" s="19" t="n"/>
      <c r="B232" s="19" t="n"/>
      <c r="C232" s="17" t="n"/>
      <c r="D232" s="18">
        <f>IF(C232="","",C232+4)</f>
        <v/>
      </c>
      <c r="E232" s="20" t="n"/>
      <c r="F232" s="20" t="n"/>
      <c r="G232" s="17" t="n"/>
      <c r="H232" s="24">
        <f>IF(E232="","",E232-N(F232))</f>
        <v/>
      </c>
      <c r="I232">
        <f>IF(OR(H232="",N(H232)&lt;=0),0,MAX(0,Parametros!$B$2-D232))</f>
        <v/>
      </c>
      <c r="J232">
        <f>IF(E232="","",IF(H232&lt;=0,"Pagada",IF(I232=0,"Al día",IF(I232&lt;=15,"1-15",IF(I232&lt;=30,"16-30","Más de 30")))))</f>
        <v/>
      </c>
    </row>
    <row r="233">
      <c r="A233" s="19" t="n"/>
      <c r="B233" s="19" t="n"/>
      <c r="C233" s="17" t="n"/>
      <c r="D233" s="18">
        <f>IF(C233="","",C233+4)</f>
        <v/>
      </c>
      <c r="E233" s="20" t="n"/>
      <c r="F233" s="20" t="n"/>
      <c r="G233" s="17" t="n"/>
      <c r="H233" s="24">
        <f>IF(E233="","",E233-N(F233))</f>
        <v/>
      </c>
      <c r="I233">
        <f>IF(OR(H233="",N(H233)&lt;=0),0,MAX(0,Parametros!$B$2-D233))</f>
        <v/>
      </c>
      <c r="J233">
        <f>IF(E233="","",IF(H233&lt;=0,"Pagada",IF(I233=0,"Al día",IF(I233&lt;=15,"1-15",IF(I233&lt;=30,"16-30","Más de 30")))))</f>
        <v/>
      </c>
    </row>
    <row r="234">
      <c r="A234" s="19" t="n"/>
      <c r="B234" s="19" t="n"/>
      <c r="C234" s="17" t="n"/>
      <c r="D234" s="18">
        <f>IF(C234="","",C234+4)</f>
        <v/>
      </c>
      <c r="E234" s="20" t="n"/>
      <c r="F234" s="20" t="n"/>
      <c r="G234" s="17" t="n"/>
      <c r="H234" s="24">
        <f>IF(E234="","",E234-N(F234))</f>
        <v/>
      </c>
      <c r="I234">
        <f>IF(OR(H234="",N(H234)&lt;=0),0,MAX(0,Parametros!$B$2-D234))</f>
        <v/>
      </c>
      <c r="J234">
        <f>IF(E234="","",IF(H234&lt;=0,"Pagada",IF(I234=0,"Al día",IF(I234&lt;=15,"1-15",IF(I234&lt;=30,"16-30","Más de 30")))))</f>
        <v/>
      </c>
    </row>
    <row r="235">
      <c r="A235" s="19" t="n"/>
      <c r="B235" s="19" t="n"/>
      <c r="C235" s="17" t="n"/>
      <c r="D235" s="18">
        <f>IF(C235="","",C235+4)</f>
        <v/>
      </c>
      <c r="E235" s="20" t="n"/>
      <c r="F235" s="20" t="n"/>
      <c r="G235" s="17" t="n"/>
      <c r="H235" s="24">
        <f>IF(E235="","",E235-N(F235))</f>
        <v/>
      </c>
      <c r="I235">
        <f>IF(OR(H235="",N(H235)&lt;=0),0,MAX(0,Parametros!$B$2-D235))</f>
        <v/>
      </c>
      <c r="J235">
        <f>IF(E235="","",IF(H235&lt;=0,"Pagada",IF(I235=0,"Al día",IF(I235&lt;=15,"1-15",IF(I235&lt;=30,"16-30","Más de 30")))))</f>
        <v/>
      </c>
    </row>
    <row r="236">
      <c r="A236" s="19" t="n"/>
      <c r="B236" s="19" t="n"/>
      <c r="C236" s="17" t="n"/>
      <c r="D236" s="18">
        <f>IF(C236="","",C236+4)</f>
        <v/>
      </c>
      <c r="E236" s="20" t="n"/>
      <c r="F236" s="20" t="n"/>
      <c r="G236" s="17" t="n"/>
      <c r="H236" s="24">
        <f>IF(E236="","",E236-N(F236))</f>
        <v/>
      </c>
      <c r="I236">
        <f>IF(OR(H236="",N(H236)&lt;=0),0,MAX(0,Parametros!$B$2-D236))</f>
        <v/>
      </c>
      <c r="J236">
        <f>IF(E236="","",IF(H236&lt;=0,"Pagada",IF(I236=0,"Al día",IF(I236&lt;=15,"1-15",IF(I236&lt;=30,"16-30","Más de 30")))))</f>
        <v/>
      </c>
    </row>
    <row r="237">
      <c r="A237" s="19" t="n"/>
      <c r="B237" s="19" t="n"/>
      <c r="C237" s="17" t="n"/>
      <c r="D237" s="18">
        <f>IF(C237="","",C237+4)</f>
        <v/>
      </c>
      <c r="E237" s="20" t="n"/>
      <c r="F237" s="20" t="n"/>
      <c r="G237" s="17" t="n"/>
      <c r="H237" s="24">
        <f>IF(E237="","",E237-N(F237))</f>
        <v/>
      </c>
      <c r="I237">
        <f>IF(OR(H237="",N(H237)&lt;=0),0,MAX(0,Parametros!$B$2-D237))</f>
        <v/>
      </c>
      <c r="J237">
        <f>IF(E237="","",IF(H237&lt;=0,"Pagada",IF(I237=0,"Al día",IF(I237&lt;=15,"1-15",IF(I237&lt;=30,"16-30","Más de 30")))))</f>
        <v/>
      </c>
    </row>
    <row r="238">
      <c r="A238" s="19" t="n"/>
      <c r="B238" s="19" t="n"/>
      <c r="C238" s="17" t="n"/>
      <c r="D238" s="18">
        <f>IF(C238="","",C238+4)</f>
        <v/>
      </c>
      <c r="E238" s="20" t="n"/>
      <c r="F238" s="20" t="n"/>
      <c r="G238" s="17" t="n"/>
      <c r="H238" s="24">
        <f>IF(E238="","",E238-N(F238))</f>
        <v/>
      </c>
      <c r="I238">
        <f>IF(OR(H238="",N(H238)&lt;=0),0,MAX(0,Parametros!$B$2-D238))</f>
        <v/>
      </c>
      <c r="J238">
        <f>IF(E238="","",IF(H238&lt;=0,"Pagada",IF(I238=0,"Al día",IF(I238&lt;=15,"1-15",IF(I238&lt;=30,"16-30","Más de 30")))))</f>
        <v/>
      </c>
    </row>
    <row r="239">
      <c r="A239" s="19" t="n"/>
      <c r="B239" s="19" t="n"/>
      <c r="C239" s="17" t="n"/>
      <c r="D239" s="18">
        <f>IF(C239="","",C239+4)</f>
        <v/>
      </c>
      <c r="E239" s="20" t="n"/>
      <c r="F239" s="20" t="n"/>
      <c r="G239" s="17" t="n"/>
      <c r="H239" s="24">
        <f>IF(E239="","",E239-N(F239))</f>
        <v/>
      </c>
      <c r="I239">
        <f>IF(OR(H239="",N(H239)&lt;=0),0,MAX(0,Parametros!$B$2-D239))</f>
        <v/>
      </c>
      <c r="J239">
        <f>IF(E239="","",IF(H239&lt;=0,"Pagada",IF(I239=0,"Al día",IF(I239&lt;=15,"1-15",IF(I239&lt;=30,"16-30","Más de 30")))))</f>
        <v/>
      </c>
    </row>
    <row r="240">
      <c r="A240" s="19" t="n"/>
      <c r="B240" s="19" t="n"/>
      <c r="C240" s="17" t="n"/>
      <c r="D240" s="18">
        <f>IF(C240="","",C240+4)</f>
        <v/>
      </c>
      <c r="E240" s="20" t="n"/>
      <c r="F240" s="20" t="n"/>
      <c r="G240" s="17" t="n"/>
      <c r="H240" s="24">
        <f>IF(E240="","",E240-N(F240))</f>
        <v/>
      </c>
      <c r="I240">
        <f>IF(OR(H240="",N(H240)&lt;=0),0,MAX(0,Parametros!$B$2-D240))</f>
        <v/>
      </c>
      <c r="J240">
        <f>IF(E240="","",IF(H240&lt;=0,"Pagada",IF(I240=0,"Al día",IF(I240&lt;=15,"1-15",IF(I240&lt;=30,"16-30","Más de 30")))))</f>
        <v/>
      </c>
    </row>
    <row r="241">
      <c r="A241" s="19" t="n"/>
      <c r="B241" s="19" t="n"/>
      <c r="C241" s="17" t="n"/>
      <c r="D241" s="18">
        <f>IF(C241="","",C241+4)</f>
        <v/>
      </c>
      <c r="E241" s="20" t="n"/>
      <c r="F241" s="20" t="n"/>
      <c r="G241" s="17" t="n"/>
      <c r="H241" s="24">
        <f>IF(E241="","",E241-N(F241))</f>
        <v/>
      </c>
      <c r="I241">
        <f>IF(OR(H241="",N(H241)&lt;=0),0,MAX(0,Parametros!$B$2-D241))</f>
        <v/>
      </c>
      <c r="J241">
        <f>IF(E241="","",IF(H241&lt;=0,"Pagada",IF(I241=0,"Al día",IF(I241&lt;=15,"1-15",IF(I241&lt;=30,"16-30","Más de 30")))))</f>
        <v/>
      </c>
    </row>
    <row r="242">
      <c r="A242" s="19" t="n"/>
      <c r="B242" s="19" t="n"/>
      <c r="C242" s="17" t="n"/>
      <c r="D242" s="18">
        <f>IF(C242="","",C242+4)</f>
        <v/>
      </c>
      <c r="E242" s="20" t="n"/>
      <c r="F242" s="20" t="n"/>
      <c r="G242" s="17" t="n"/>
      <c r="H242" s="24">
        <f>IF(E242="","",E242-N(F242))</f>
        <v/>
      </c>
      <c r="I242">
        <f>IF(OR(H242="",N(H242)&lt;=0),0,MAX(0,Parametros!$B$2-D242))</f>
        <v/>
      </c>
      <c r="J242">
        <f>IF(E242="","",IF(H242&lt;=0,"Pagada",IF(I242=0,"Al día",IF(I242&lt;=15,"1-15",IF(I242&lt;=30,"16-30","Más de 30")))))</f>
        <v/>
      </c>
    </row>
    <row r="243">
      <c r="A243" s="19" t="n"/>
      <c r="B243" s="19" t="n"/>
      <c r="C243" s="17" t="n"/>
      <c r="D243" s="18">
        <f>IF(C243="","",C243+4)</f>
        <v/>
      </c>
      <c r="E243" s="20" t="n"/>
      <c r="F243" s="20" t="n"/>
      <c r="G243" s="17" t="n"/>
      <c r="H243" s="24">
        <f>IF(E243="","",E243-N(F243))</f>
        <v/>
      </c>
      <c r="I243">
        <f>IF(OR(H243="",N(H243)&lt;=0),0,MAX(0,Parametros!$B$2-D243))</f>
        <v/>
      </c>
      <c r="J243">
        <f>IF(E243="","",IF(H243&lt;=0,"Pagada",IF(I243=0,"Al día",IF(I243&lt;=15,"1-15",IF(I243&lt;=30,"16-30","Más de 30")))))</f>
        <v/>
      </c>
    </row>
    <row r="244">
      <c r="A244" s="19" t="n"/>
      <c r="B244" s="19" t="n"/>
      <c r="C244" s="17" t="n"/>
      <c r="D244" s="18">
        <f>IF(C244="","",C244+4)</f>
        <v/>
      </c>
      <c r="E244" s="20" t="n"/>
      <c r="F244" s="20" t="n"/>
      <c r="G244" s="17" t="n"/>
      <c r="H244" s="24">
        <f>IF(E244="","",E244-N(F244))</f>
        <v/>
      </c>
      <c r="I244">
        <f>IF(OR(H244="",N(H244)&lt;=0),0,MAX(0,Parametros!$B$2-D244))</f>
        <v/>
      </c>
      <c r="J244">
        <f>IF(E244="","",IF(H244&lt;=0,"Pagada",IF(I244=0,"Al día",IF(I244&lt;=15,"1-15",IF(I244&lt;=30,"16-30","Más de 30")))))</f>
        <v/>
      </c>
    </row>
    <row r="245">
      <c r="A245" s="19" t="n"/>
      <c r="B245" s="19" t="n"/>
      <c r="C245" s="17" t="n"/>
      <c r="D245" s="18">
        <f>IF(C245="","",C245+4)</f>
        <v/>
      </c>
      <c r="E245" s="20" t="n"/>
      <c r="F245" s="20" t="n"/>
      <c r="G245" s="17" t="n"/>
      <c r="H245" s="24">
        <f>IF(E245="","",E245-N(F245))</f>
        <v/>
      </c>
      <c r="I245">
        <f>IF(OR(H245="",N(H245)&lt;=0),0,MAX(0,Parametros!$B$2-D245))</f>
        <v/>
      </c>
      <c r="J245">
        <f>IF(E245="","",IF(H245&lt;=0,"Pagada",IF(I245=0,"Al día",IF(I245&lt;=15,"1-15",IF(I245&lt;=30,"16-30","Más de 30")))))</f>
        <v/>
      </c>
    </row>
    <row r="246">
      <c r="A246" s="19" t="n"/>
      <c r="B246" s="19" t="n"/>
      <c r="C246" s="17" t="n"/>
      <c r="D246" s="18">
        <f>IF(C246="","",C246+4)</f>
        <v/>
      </c>
      <c r="E246" s="20" t="n"/>
      <c r="F246" s="20" t="n"/>
      <c r="G246" s="17" t="n"/>
      <c r="H246" s="24">
        <f>IF(E246="","",E246-N(F246))</f>
        <v/>
      </c>
      <c r="I246">
        <f>IF(OR(H246="",N(H246)&lt;=0),0,MAX(0,Parametros!$B$2-D246))</f>
        <v/>
      </c>
      <c r="J246">
        <f>IF(E246="","",IF(H246&lt;=0,"Pagada",IF(I246=0,"Al día",IF(I246&lt;=15,"1-15",IF(I246&lt;=30,"16-30","Más de 30")))))</f>
        <v/>
      </c>
    </row>
    <row r="247">
      <c r="A247" s="19" t="n"/>
      <c r="B247" s="19" t="n"/>
      <c r="C247" s="17" t="n"/>
      <c r="D247" s="18">
        <f>IF(C247="","",C247+4)</f>
        <v/>
      </c>
      <c r="E247" s="20" t="n"/>
      <c r="F247" s="20" t="n"/>
      <c r="G247" s="17" t="n"/>
      <c r="H247" s="24">
        <f>IF(E247="","",E247-N(F247))</f>
        <v/>
      </c>
      <c r="I247">
        <f>IF(OR(H247="",N(H247)&lt;=0),0,MAX(0,Parametros!$B$2-D247))</f>
        <v/>
      </c>
      <c r="J247">
        <f>IF(E247="","",IF(H247&lt;=0,"Pagada",IF(I247=0,"Al día",IF(I247&lt;=15,"1-15",IF(I247&lt;=30,"16-30","Más de 30")))))</f>
        <v/>
      </c>
    </row>
    <row r="248">
      <c r="A248" s="19" t="n"/>
      <c r="B248" s="19" t="n"/>
      <c r="C248" s="17" t="n"/>
      <c r="D248" s="18">
        <f>IF(C248="","",C248+4)</f>
        <v/>
      </c>
      <c r="E248" s="20" t="n"/>
      <c r="F248" s="20" t="n"/>
      <c r="G248" s="17" t="n"/>
      <c r="H248" s="24">
        <f>IF(E248="","",E248-N(F248))</f>
        <v/>
      </c>
      <c r="I248">
        <f>IF(OR(H248="",N(H248)&lt;=0),0,MAX(0,Parametros!$B$2-D248))</f>
        <v/>
      </c>
      <c r="J248">
        <f>IF(E248="","",IF(H248&lt;=0,"Pagada",IF(I248=0,"Al día",IF(I248&lt;=15,"1-15",IF(I248&lt;=30,"16-30","Más de 30")))))</f>
        <v/>
      </c>
    </row>
    <row r="249">
      <c r="A249" s="19" t="n"/>
      <c r="B249" s="19" t="n"/>
      <c r="C249" s="17" t="n"/>
      <c r="D249" s="18">
        <f>IF(C249="","",C249+4)</f>
        <v/>
      </c>
      <c r="E249" s="20" t="n"/>
      <c r="F249" s="20" t="n"/>
      <c r="G249" s="17" t="n"/>
      <c r="H249" s="24">
        <f>IF(E249="","",E249-N(F249))</f>
        <v/>
      </c>
      <c r="I249">
        <f>IF(OR(H249="",N(H249)&lt;=0),0,MAX(0,Parametros!$B$2-D249))</f>
        <v/>
      </c>
      <c r="J249">
        <f>IF(E249="","",IF(H249&lt;=0,"Pagada",IF(I249=0,"Al día",IF(I249&lt;=15,"1-15",IF(I249&lt;=30,"16-30","Más de 30")))))</f>
        <v/>
      </c>
    </row>
    <row r="250">
      <c r="A250" s="19" t="n"/>
      <c r="B250" s="19" t="n"/>
      <c r="C250" s="17" t="n"/>
      <c r="D250" s="18">
        <f>IF(C250="","",C250+4)</f>
        <v/>
      </c>
      <c r="E250" s="20" t="n"/>
      <c r="F250" s="20" t="n"/>
      <c r="G250" s="17" t="n"/>
      <c r="H250" s="24">
        <f>IF(E250="","",E250-N(F250))</f>
        <v/>
      </c>
      <c r="I250">
        <f>IF(OR(H250="",N(H250)&lt;=0),0,MAX(0,Parametros!$B$2-D250))</f>
        <v/>
      </c>
      <c r="J250">
        <f>IF(E250="","",IF(H250&lt;=0,"Pagada",IF(I250=0,"Al día",IF(I250&lt;=15,"1-15",IF(I250&lt;=30,"16-30","Más de 30")))))</f>
        <v/>
      </c>
    </row>
    <row r="251">
      <c r="A251" s="19" t="n"/>
      <c r="B251" s="19" t="n"/>
      <c r="C251" s="17" t="n"/>
      <c r="D251" s="18">
        <f>IF(C251="","",C251+4)</f>
        <v/>
      </c>
      <c r="E251" s="20" t="n"/>
      <c r="F251" s="20" t="n"/>
      <c r="G251" s="17" t="n"/>
      <c r="H251" s="24">
        <f>IF(E251="","",E251-N(F251))</f>
        <v/>
      </c>
      <c r="I251">
        <f>IF(OR(H251="",N(H251)&lt;=0),0,MAX(0,Parametros!$B$2-D251))</f>
        <v/>
      </c>
      <c r="J251">
        <f>IF(E251="","",IF(H251&lt;=0,"Pagada",IF(I251=0,"Al día",IF(I251&lt;=15,"1-15",IF(I251&lt;=30,"16-30","Más de 30")))))</f>
        <v/>
      </c>
    </row>
    <row r="252">
      <c r="A252" s="19" t="n"/>
      <c r="B252" s="19" t="n"/>
      <c r="C252" s="17" t="n"/>
      <c r="D252" s="18">
        <f>IF(C252="","",C252+4)</f>
        <v/>
      </c>
      <c r="E252" s="20" t="n"/>
      <c r="F252" s="20" t="n"/>
      <c r="G252" s="17" t="n"/>
      <c r="H252" s="24">
        <f>IF(E252="","",E252-N(F252))</f>
        <v/>
      </c>
      <c r="I252">
        <f>IF(OR(H252="",N(H252)&lt;=0),0,MAX(0,Parametros!$B$2-D252))</f>
        <v/>
      </c>
      <c r="J252">
        <f>IF(E252="","",IF(H252&lt;=0,"Pagada",IF(I252=0,"Al día",IF(I252&lt;=15,"1-15",IF(I252&lt;=30,"16-30","Más de 30")))))</f>
        <v/>
      </c>
    </row>
    <row r="253">
      <c r="A253" s="19" t="n"/>
      <c r="B253" s="19" t="n"/>
      <c r="C253" s="17" t="n"/>
      <c r="D253" s="18">
        <f>IF(C253="","",C253+4)</f>
        <v/>
      </c>
      <c r="E253" s="20" t="n"/>
      <c r="F253" s="20" t="n"/>
      <c r="G253" s="17" t="n"/>
      <c r="H253" s="24">
        <f>IF(E253="","",E253-N(F253))</f>
        <v/>
      </c>
      <c r="I253">
        <f>IF(OR(H253="",N(H253)&lt;=0),0,MAX(0,Parametros!$B$2-D253))</f>
        <v/>
      </c>
      <c r="J253">
        <f>IF(E253="","",IF(H253&lt;=0,"Pagada",IF(I253=0,"Al día",IF(I253&lt;=15,"1-15",IF(I253&lt;=30,"16-30","Más de 30")))))</f>
        <v/>
      </c>
    </row>
    <row r="254">
      <c r="A254" s="19" t="n"/>
      <c r="B254" s="19" t="n"/>
      <c r="C254" s="17" t="n"/>
      <c r="D254" s="18">
        <f>IF(C254="","",C254+4)</f>
        <v/>
      </c>
      <c r="E254" s="20" t="n"/>
      <c r="F254" s="20" t="n"/>
      <c r="G254" s="17" t="n"/>
      <c r="H254" s="24">
        <f>IF(E254="","",E254-N(F254))</f>
        <v/>
      </c>
      <c r="I254">
        <f>IF(OR(H254="",N(H254)&lt;=0),0,MAX(0,Parametros!$B$2-D254))</f>
        <v/>
      </c>
      <c r="J254">
        <f>IF(E254="","",IF(H254&lt;=0,"Pagada",IF(I254=0,"Al día",IF(I254&lt;=15,"1-15",IF(I254&lt;=30,"16-30","Más de 30")))))</f>
        <v/>
      </c>
    </row>
    <row r="255">
      <c r="A255" s="19" t="n"/>
      <c r="B255" s="19" t="n"/>
      <c r="C255" s="17" t="n"/>
      <c r="D255" s="18">
        <f>IF(C255="","",C255+4)</f>
        <v/>
      </c>
      <c r="E255" s="20" t="n"/>
      <c r="F255" s="20" t="n"/>
      <c r="G255" s="17" t="n"/>
      <c r="H255" s="24">
        <f>IF(E255="","",E255-N(F255))</f>
        <v/>
      </c>
      <c r="I255">
        <f>IF(OR(H255="",N(H255)&lt;=0),0,MAX(0,Parametros!$B$2-D255))</f>
        <v/>
      </c>
      <c r="J255">
        <f>IF(E255="","",IF(H255&lt;=0,"Pagada",IF(I255=0,"Al día",IF(I255&lt;=15,"1-15",IF(I255&lt;=30,"16-30","Más de 30")))))</f>
        <v/>
      </c>
    </row>
    <row r="256">
      <c r="A256" s="19" t="n"/>
      <c r="B256" s="19" t="n"/>
      <c r="C256" s="17" t="n"/>
      <c r="D256" s="18">
        <f>IF(C256="","",C256+4)</f>
        <v/>
      </c>
      <c r="E256" s="20" t="n"/>
      <c r="F256" s="20" t="n"/>
      <c r="G256" s="17" t="n"/>
      <c r="H256" s="24">
        <f>IF(E256="","",E256-N(F256))</f>
        <v/>
      </c>
      <c r="I256">
        <f>IF(OR(H256="",N(H256)&lt;=0),0,MAX(0,Parametros!$B$2-D256))</f>
        <v/>
      </c>
      <c r="J256">
        <f>IF(E256="","",IF(H256&lt;=0,"Pagada",IF(I256=0,"Al día",IF(I256&lt;=15,"1-15",IF(I256&lt;=30,"16-30","Más de 30")))))</f>
        <v/>
      </c>
    </row>
    <row r="257">
      <c r="A257" s="19" t="n"/>
      <c r="B257" s="19" t="n"/>
      <c r="C257" s="17" t="n"/>
      <c r="D257" s="18">
        <f>IF(C257="","",C257+4)</f>
        <v/>
      </c>
      <c r="E257" s="20" t="n"/>
      <c r="F257" s="20" t="n"/>
      <c r="G257" s="17" t="n"/>
      <c r="H257" s="24">
        <f>IF(E257="","",E257-N(F257))</f>
        <v/>
      </c>
      <c r="I257">
        <f>IF(OR(H257="",N(H257)&lt;=0),0,MAX(0,Parametros!$B$2-D257))</f>
        <v/>
      </c>
      <c r="J257">
        <f>IF(E257="","",IF(H257&lt;=0,"Pagada",IF(I257=0,"Al día",IF(I257&lt;=15,"1-15",IF(I257&lt;=30,"16-30","Más de 30")))))</f>
        <v/>
      </c>
    </row>
    <row r="258">
      <c r="A258" s="19" t="n"/>
      <c r="B258" s="19" t="n"/>
      <c r="C258" s="17" t="n"/>
      <c r="D258" s="18">
        <f>IF(C258="","",C258+4)</f>
        <v/>
      </c>
      <c r="E258" s="20" t="n"/>
      <c r="F258" s="20" t="n"/>
      <c r="G258" s="17" t="n"/>
      <c r="H258" s="24">
        <f>IF(E258="","",E258-N(F258))</f>
        <v/>
      </c>
      <c r="I258">
        <f>IF(OR(H258="",N(H258)&lt;=0),0,MAX(0,Parametros!$B$2-D258))</f>
        <v/>
      </c>
      <c r="J258">
        <f>IF(E258="","",IF(H258&lt;=0,"Pagada",IF(I258=0,"Al día",IF(I258&lt;=15,"1-15",IF(I258&lt;=30,"16-30","Más de 30")))))</f>
        <v/>
      </c>
    </row>
    <row r="259">
      <c r="A259" s="19" t="n"/>
      <c r="B259" s="19" t="n"/>
      <c r="C259" s="17" t="n"/>
      <c r="D259" s="18">
        <f>IF(C259="","",C259+4)</f>
        <v/>
      </c>
      <c r="E259" s="20" t="n"/>
      <c r="F259" s="20" t="n"/>
      <c r="G259" s="17" t="n"/>
      <c r="H259" s="24">
        <f>IF(E259="","",E259-N(F259))</f>
        <v/>
      </c>
      <c r="I259">
        <f>IF(OR(H259="",N(H259)&lt;=0),0,MAX(0,Parametros!$B$2-D259))</f>
        <v/>
      </c>
      <c r="J259">
        <f>IF(E259="","",IF(H259&lt;=0,"Pagada",IF(I259=0,"Al día",IF(I259&lt;=15,"1-15",IF(I259&lt;=30,"16-30","Más de 30")))))</f>
        <v/>
      </c>
    </row>
    <row r="260">
      <c r="A260" s="19" t="n"/>
      <c r="B260" s="19" t="n"/>
      <c r="C260" s="17" t="n"/>
      <c r="D260" s="18">
        <f>IF(C260="","",C260+4)</f>
        <v/>
      </c>
      <c r="E260" s="20" t="n"/>
      <c r="F260" s="20" t="n"/>
      <c r="G260" s="17" t="n"/>
      <c r="H260" s="24">
        <f>IF(E260="","",E260-N(F260))</f>
        <v/>
      </c>
      <c r="I260">
        <f>IF(OR(H260="",N(H260)&lt;=0),0,MAX(0,Parametros!$B$2-D260))</f>
        <v/>
      </c>
      <c r="J260">
        <f>IF(E260="","",IF(H260&lt;=0,"Pagada",IF(I260=0,"Al día",IF(I260&lt;=15,"1-15",IF(I260&lt;=30,"16-30","Más de 30")))))</f>
        <v/>
      </c>
    </row>
    <row r="261">
      <c r="A261" s="19" t="n"/>
      <c r="B261" s="19" t="n"/>
      <c r="C261" s="17" t="n"/>
      <c r="D261" s="18">
        <f>IF(C261="","",C261+4)</f>
        <v/>
      </c>
      <c r="E261" s="20" t="n"/>
      <c r="F261" s="20" t="n"/>
      <c r="G261" s="17" t="n"/>
      <c r="H261" s="24">
        <f>IF(E261="","",E261-N(F261))</f>
        <v/>
      </c>
      <c r="I261">
        <f>IF(OR(H261="",N(H261)&lt;=0),0,MAX(0,Parametros!$B$2-D261))</f>
        <v/>
      </c>
      <c r="J261">
        <f>IF(E261="","",IF(H261&lt;=0,"Pagada",IF(I261=0,"Al día",IF(I261&lt;=15,"1-15",IF(I261&lt;=30,"16-30","Más de 30")))))</f>
        <v/>
      </c>
    </row>
    <row r="262">
      <c r="A262" s="19" t="n"/>
      <c r="B262" s="19" t="n"/>
      <c r="C262" s="17" t="n"/>
      <c r="D262" s="18">
        <f>IF(C262="","",C262+4)</f>
        <v/>
      </c>
      <c r="E262" s="20" t="n"/>
      <c r="F262" s="20" t="n"/>
      <c r="G262" s="17" t="n"/>
      <c r="H262" s="24">
        <f>IF(E262="","",E262-N(F262))</f>
        <v/>
      </c>
      <c r="I262">
        <f>IF(OR(H262="",N(H262)&lt;=0),0,MAX(0,Parametros!$B$2-D262))</f>
        <v/>
      </c>
      <c r="J262">
        <f>IF(E262="","",IF(H262&lt;=0,"Pagada",IF(I262=0,"Al día",IF(I262&lt;=15,"1-15",IF(I262&lt;=30,"16-30","Más de 30")))))</f>
        <v/>
      </c>
    </row>
    <row r="263">
      <c r="A263" s="19" t="n"/>
      <c r="B263" s="19" t="n"/>
      <c r="C263" s="17" t="n"/>
      <c r="D263" s="18">
        <f>IF(C263="","",C263+4)</f>
        <v/>
      </c>
      <c r="E263" s="20" t="n"/>
      <c r="F263" s="20" t="n"/>
      <c r="G263" s="17" t="n"/>
      <c r="H263" s="24">
        <f>IF(E263="","",E263-N(F263))</f>
        <v/>
      </c>
      <c r="I263">
        <f>IF(OR(H263="",N(H263)&lt;=0),0,MAX(0,Parametros!$B$2-D263))</f>
        <v/>
      </c>
      <c r="J263">
        <f>IF(E263="","",IF(H263&lt;=0,"Pagada",IF(I263=0,"Al día",IF(I263&lt;=15,"1-15",IF(I263&lt;=30,"16-30","Más de 30")))))</f>
        <v/>
      </c>
    </row>
    <row r="264">
      <c r="A264" s="19" t="n"/>
      <c r="B264" s="19" t="n"/>
      <c r="C264" s="17" t="n"/>
      <c r="D264" s="18">
        <f>IF(C264="","",C264+4)</f>
        <v/>
      </c>
      <c r="E264" s="20" t="n"/>
      <c r="F264" s="20" t="n"/>
      <c r="G264" s="17" t="n"/>
      <c r="H264" s="24">
        <f>IF(E264="","",E264-N(F264))</f>
        <v/>
      </c>
      <c r="I264">
        <f>IF(OR(H264="",N(H264)&lt;=0),0,MAX(0,Parametros!$B$2-D264))</f>
        <v/>
      </c>
      <c r="J264">
        <f>IF(E264="","",IF(H264&lt;=0,"Pagada",IF(I264=0,"Al día",IF(I264&lt;=15,"1-15",IF(I264&lt;=30,"16-30","Más de 30")))))</f>
        <v/>
      </c>
    </row>
    <row r="265">
      <c r="A265" s="19" t="n"/>
      <c r="B265" s="19" t="n"/>
      <c r="C265" s="17" t="n"/>
      <c r="D265" s="18">
        <f>IF(C265="","",C265+4)</f>
        <v/>
      </c>
      <c r="E265" s="20" t="n"/>
      <c r="F265" s="20" t="n"/>
      <c r="G265" s="17" t="n"/>
      <c r="H265" s="24">
        <f>IF(E265="","",E265-N(F265))</f>
        <v/>
      </c>
      <c r="I265">
        <f>IF(OR(H265="",N(H265)&lt;=0),0,MAX(0,Parametros!$B$2-D265))</f>
        <v/>
      </c>
      <c r="J265">
        <f>IF(E265="","",IF(H265&lt;=0,"Pagada",IF(I265=0,"Al día",IF(I265&lt;=15,"1-15",IF(I265&lt;=30,"16-30","Más de 30")))))</f>
        <v/>
      </c>
    </row>
    <row r="266">
      <c r="A266" s="19" t="n"/>
      <c r="B266" s="19" t="n"/>
      <c r="C266" s="17" t="n"/>
      <c r="D266" s="18">
        <f>IF(C266="","",C266+4)</f>
        <v/>
      </c>
      <c r="E266" s="20" t="n"/>
      <c r="F266" s="20" t="n"/>
      <c r="G266" s="17" t="n"/>
      <c r="H266" s="24">
        <f>IF(E266="","",E266-N(F266))</f>
        <v/>
      </c>
      <c r="I266">
        <f>IF(OR(H266="",N(H266)&lt;=0),0,MAX(0,Parametros!$B$2-D266))</f>
        <v/>
      </c>
      <c r="J266">
        <f>IF(E266="","",IF(H266&lt;=0,"Pagada",IF(I266=0,"Al día",IF(I266&lt;=15,"1-15",IF(I266&lt;=30,"16-30","Más de 30")))))</f>
        <v/>
      </c>
    </row>
    <row r="267">
      <c r="A267" s="19" t="n"/>
      <c r="B267" s="19" t="n"/>
      <c r="C267" s="17" t="n"/>
      <c r="D267" s="18">
        <f>IF(C267="","",C267+4)</f>
        <v/>
      </c>
      <c r="E267" s="20" t="n"/>
      <c r="F267" s="20" t="n"/>
      <c r="G267" s="17" t="n"/>
      <c r="H267" s="24">
        <f>IF(E267="","",E267-N(F267))</f>
        <v/>
      </c>
      <c r="I267">
        <f>IF(OR(H267="",N(H267)&lt;=0),0,MAX(0,Parametros!$B$2-D267))</f>
        <v/>
      </c>
      <c r="J267">
        <f>IF(E267="","",IF(H267&lt;=0,"Pagada",IF(I267=0,"Al día",IF(I267&lt;=15,"1-15",IF(I267&lt;=30,"16-30","Más de 30")))))</f>
        <v/>
      </c>
    </row>
    <row r="268">
      <c r="A268" s="19" t="n"/>
      <c r="B268" s="19" t="n"/>
      <c r="C268" s="17" t="n"/>
      <c r="D268" s="18">
        <f>IF(C268="","",C268+4)</f>
        <v/>
      </c>
      <c r="E268" s="20" t="n"/>
      <c r="F268" s="20" t="n"/>
      <c r="G268" s="17" t="n"/>
      <c r="H268" s="24">
        <f>IF(E268="","",E268-N(F268))</f>
        <v/>
      </c>
      <c r="I268">
        <f>IF(OR(H268="",N(H268)&lt;=0),0,MAX(0,Parametros!$B$2-D268))</f>
        <v/>
      </c>
      <c r="J268">
        <f>IF(E268="","",IF(H268&lt;=0,"Pagada",IF(I268=0,"Al día",IF(I268&lt;=15,"1-15",IF(I268&lt;=30,"16-30","Más de 30")))))</f>
        <v/>
      </c>
    </row>
    <row r="269">
      <c r="A269" s="19" t="n"/>
      <c r="B269" s="19" t="n"/>
      <c r="C269" s="17" t="n"/>
      <c r="D269" s="18">
        <f>IF(C269="","",C269+4)</f>
        <v/>
      </c>
      <c r="E269" s="20" t="n"/>
      <c r="F269" s="20" t="n"/>
      <c r="G269" s="17" t="n"/>
      <c r="H269" s="24">
        <f>IF(E269="","",E269-N(F269))</f>
        <v/>
      </c>
      <c r="I269">
        <f>IF(OR(H269="",N(H269)&lt;=0),0,MAX(0,Parametros!$B$2-D269))</f>
        <v/>
      </c>
      <c r="J269">
        <f>IF(E269="","",IF(H269&lt;=0,"Pagada",IF(I269=0,"Al día",IF(I269&lt;=15,"1-15",IF(I269&lt;=30,"16-30","Más de 30")))))</f>
        <v/>
      </c>
    </row>
    <row r="270">
      <c r="A270" s="19" t="n"/>
      <c r="B270" s="19" t="n"/>
      <c r="C270" s="17" t="n"/>
      <c r="D270" s="18">
        <f>IF(C270="","",C270+4)</f>
        <v/>
      </c>
      <c r="E270" s="20" t="n"/>
      <c r="F270" s="20" t="n"/>
      <c r="G270" s="17" t="n"/>
      <c r="H270" s="24">
        <f>IF(E270="","",E270-N(F270))</f>
        <v/>
      </c>
      <c r="I270">
        <f>IF(OR(H270="",N(H270)&lt;=0),0,MAX(0,Parametros!$B$2-D270))</f>
        <v/>
      </c>
      <c r="J270">
        <f>IF(E270="","",IF(H270&lt;=0,"Pagada",IF(I270=0,"Al día",IF(I270&lt;=15,"1-15",IF(I270&lt;=30,"16-30","Más de 30")))))</f>
        <v/>
      </c>
    </row>
    <row r="271">
      <c r="A271" s="19" t="n"/>
      <c r="B271" s="19" t="n"/>
      <c r="C271" s="17" t="n"/>
      <c r="D271" s="18">
        <f>IF(C271="","",C271+4)</f>
        <v/>
      </c>
      <c r="E271" s="20" t="n"/>
      <c r="F271" s="20" t="n"/>
      <c r="G271" s="17" t="n"/>
      <c r="H271" s="24">
        <f>IF(E271="","",E271-N(F271))</f>
        <v/>
      </c>
      <c r="I271">
        <f>IF(OR(H271="",N(H271)&lt;=0),0,MAX(0,Parametros!$B$2-D271))</f>
        <v/>
      </c>
      <c r="J271">
        <f>IF(E271="","",IF(H271&lt;=0,"Pagada",IF(I271=0,"Al día",IF(I271&lt;=15,"1-15",IF(I271&lt;=30,"16-30","Más de 30")))))</f>
        <v/>
      </c>
    </row>
    <row r="272">
      <c r="A272" s="19" t="n"/>
      <c r="B272" s="19" t="n"/>
      <c r="C272" s="17" t="n"/>
      <c r="D272" s="18">
        <f>IF(C272="","",C272+4)</f>
        <v/>
      </c>
      <c r="E272" s="20" t="n"/>
      <c r="F272" s="20" t="n"/>
      <c r="G272" s="17" t="n"/>
      <c r="H272" s="24">
        <f>IF(E272="","",E272-N(F272))</f>
        <v/>
      </c>
      <c r="I272">
        <f>IF(OR(H272="",N(H272)&lt;=0),0,MAX(0,Parametros!$B$2-D272))</f>
        <v/>
      </c>
      <c r="J272">
        <f>IF(E272="","",IF(H272&lt;=0,"Pagada",IF(I272=0,"Al día",IF(I272&lt;=15,"1-15",IF(I272&lt;=30,"16-30","Más de 30")))))</f>
        <v/>
      </c>
    </row>
    <row r="273">
      <c r="A273" s="19" t="n"/>
      <c r="B273" s="19" t="n"/>
      <c r="C273" s="17" t="n"/>
      <c r="D273" s="18">
        <f>IF(C273="","",C273+4)</f>
        <v/>
      </c>
      <c r="E273" s="20" t="n"/>
      <c r="F273" s="20" t="n"/>
      <c r="G273" s="17" t="n"/>
      <c r="H273" s="24">
        <f>IF(E273="","",E273-N(F273))</f>
        <v/>
      </c>
      <c r="I273">
        <f>IF(OR(H273="",N(H273)&lt;=0),0,MAX(0,Parametros!$B$2-D273))</f>
        <v/>
      </c>
      <c r="J273">
        <f>IF(E273="","",IF(H273&lt;=0,"Pagada",IF(I273=0,"Al día",IF(I273&lt;=15,"1-15",IF(I273&lt;=30,"16-30","Más de 30")))))</f>
        <v/>
      </c>
    </row>
    <row r="274">
      <c r="A274" s="19" t="n"/>
      <c r="B274" s="19" t="n"/>
      <c r="C274" s="17" t="n"/>
      <c r="D274" s="18">
        <f>IF(C274="","",C274+4)</f>
        <v/>
      </c>
      <c r="E274" s="20" t="n"/>
      <c r="F274" s="20" t="n"/>
      <c r="G274" s="17" t="n"/>
      <c r="H274" s="24">
        <f>IF(E274="","",E274-N(F274))</f>
        <v/>
      </c>
      <c r="I274">
        <f>IF(OR(H274="",N(H274)&lt;=0),0,MAX(0,Parametros!$B$2-D274))</f>
        <v/>
      </c>
      <c r="J274">
        <f>IF(E274="","",IF(H274&lt;=0,"Pagada",IF(I274=0,"Al día",IF(I274&lt;=15,"1-15",IF(I274&lt;=30,"16-30","Más de 30")))))</f>
        <v/>
      </c>
    </row>
    <row r="275">
      <c r="A275" s="19" t="n"/>
      <c r="B275" s="19" t="n"/>
      <c r="C275" s="17" t="n"/>
      <c r="D275" s="18">
        <f>IF(C275="","",C275+4)</f>
        <v/>
      </c>
      <c r="E275" s="20" t="n"/>
      <c r="F275" s="20" t="n"/>
      <c r="G275" s="17" t="n"/>
      <c r="H275" s="24">
        <f>IF(E275="","",E275-N(F275))</f>
        <v/>
      </c>
      <c r="I275">
        <f>IF(OR(H275="",N(H275)&lt;=0),0,MAX(0,Parametros!$B$2-D275))</f>
        <v/>
      </c>
      <c r="J275">
        <f>IF(E275="","",IF(H275&lt;=0,"Pagada",IF(I275=0,"Al día",IF(I275&lt;=15,"1-15",IF(I275&lt;=30,"16-30","Más de 30")))))</f>
        <v/>
      </c>
    </row>
    <row r="276">
      <c r="A276" s="19" t="n"/>
      <c r="B276" s="19" t="n"/>
      <c r="C276" s="17" t="n"/>
      <c r="D276" s="18">
        <f>IF(C276="","",C276+4)</f>
        <v/>
      </c>
      <c r="E276" s="20" t="n"/>
      <c r="F276" s="20" t="n"/>
      <c r="G276" s="17" t="n"/>
      <c r="H276" s="24">
        <f>IF(E276="","",E276-N(F276))</f>
        <v/>
      </c>
      <c r="I276">
        <f>IF(OR(H276="",N(H276)&lt;=0),0,MAX(0,Parametros!$B$2-D276))</f>
        <v/>
      </c>
      <c r="J276">
        <f>IF(E276="","",IF(H276&lt;=0,"Pagada",IF(I276=0,"Al día",IF(I276&lt;=15,"1-15",IF(I276&lt;=30,"16-30","Más de 30")))))</f>
        <v/>
      </c>
    </row>
    <row r="277">
      <c r="A277" s="19" t="n"/>
      <c r="B277" s="19" t="n"/>
      <c r="C277" s="17" t="n"/>
      <c r="D277" s="18">
        <f>IF(C277="","",C277+4)</f>
        <v/>
      </c>
      <c r="E277" s="20" t="n"/>
      <c r="F277" s="20" t="n"/>
      <c r="G277" s="17" t="n"/>
      <c r="H277" s="24">
        <f>IF(E277="","",E277-N(F277))</f>
        <v/>
      </c>
      <c r="I277">
        <f>IF(OR(H277="",N(H277)&lt;=0),0,MAX(0,Parametros!$B$2-D277))</f>
        <v/>
      </c>
      <c r="J277">
        <f>IF(E277="","",IF(H277&lt;=0,"Pagada",IF(I277=0,"Al día",IF(I277&lt;=15,"1-15",IF(I277&lt;=30,"16-30","Más de 30")))))</f>
        <v/>
      </c>
    </row>
    <row r="278">
      <c r="A278" s="19" t="n"/>
      <c r="B278" s="19" t="n"/>
      <c r="C278" s="17" t="n"/>
      <c r="D278" s="18">
        <f>IF(C278="","",C278+4)</f>
        <v/>
      </c>
      <c r="E278" s="20" t="n"/>
      <c r="F278" s="20" t="n"/>
      <c r="G278" s="17" t="n"/>
      <c r="H278" s="24">
        <f>IF(E278="","",E278-N(F278))</f>
        <v/>
      </c>
      <c r="I278">
        <f>IF(OR(H278="",N(H278)&lt;=0),0,MAX(0,Parametros!$B$2-D278))</f>
        <v/>
      </c>
      <c r="J278">
        <f>IF(E278="","",IF(H278&lt;=0,"Pagada",IF(I278=0,"Al día",IF(I278&lt;=15,"1-15",IF(I278&lt;=30,"16-30","Más de 30")))))</f>
        <v/>
      </c>
    </row>
    <row r="279">
      <c r="A279" s="19" t="n"/>
      <c r="B279" s="19" t="n"/>
      <c r="C279" s="17" t="n"/>
      <c r="D279" s="18">
        <f>IF(C279="","",C279+4)</f>
        <v/>
      </c>
      <c r="E279" s="20" t="n"/>
      <c r="F279" s="20" t="n"/>
      <c r="G279" s="17" t="n"/>
      <c r="H279" s="24">
        <f>IF(E279="","",E279-N(F279))</f>
        <v/>
      </c>
      <c r="I279">
        <f>IF(OR(H279="",N(H279)&lt;=0),0,MAX(0,Parametros!$B$2-D279))</f>
        <v/>
      </c>
      <c r="J279">
        <f>IF(E279="","",IF(H279&lt;=0,"Pagada",IF(I279=0,"Al día",IF(I279&lt;=15,"1-15",IF(I279&lt;=30,"16-30","Más de 30")))))</f>
        <v/>
      </c>
    </row>
    <row r="280">
      <c r="A280" s="19" t="n"/>
      <c r="B280" s="19" t="n"/>
      <c r="C280" s="17" t="n"/>
      <c r="D280" s="18">
        <f>IF(C280="","",C280+4)</f>
        <v/>
      </c>
      <c r="E280" s="20" t="n"/>
      <c r="F280" s="20" t="n"/>
      <c r="G280" s="17" t="n"/>
      <c r="H280" s="24">
        <f>IF(E280="","",E280-N(F280))</f>
        <v/>
      </c>
      <c r="I280">
        <f>IF(OR(H280="",N(H280)&lt;=0),0,MAX(0,Parametros!$B$2-D280))</f>
        <v/>
      </c>
      <c r="J280">
        <f>IF(E280="","",IF(H280&lt;=0,"Pagada",IF(I280=0,"Al día",IF(I280&lt;=15,"1-15",IF(I280&lt;=30,"16-30","Más de 30")))))</f>
        <v/>
      </c>
    </row>
    <row r="281">
      <c r="A281" s="19" t="n"/>
      <c r="B281" s="19" t="n"/>
      <c r="C281" s="17" t="n"/>
      <c r="D281" s="18">
        <f>IF(C281="","",C281+4)</f>
        <v/>
      </c>
      <c r="E281" s="20" t="n"/>
      <c r="F281" s="20" t="n"/>
      <c r="G281" s="17" t="n"/>
      <c r="H281" s="24">
        <f>IF(E281="","",E281-N(F281))</f>
        <v/>
      </c>
      <c r="I281">
        <f>IF(OR(H281="",N(H281)&lt;=0),0,MAX(0,Parametros!$B$2-D281))</f>
        <v/>
      </c>
      <c r="J281">
        <f>IF(E281="","",IF(H281&lt;=0,"Pagada",IF(I281=0,"Al día",IF(I281&lt;=15,"1-15",IF(I281&lt;=30,"16-30","Más de 30")))))</f>
        <v/>
      </c>
    </row>
    <row r="282">
      <c r="A282" s="19" t="n"/>
      <c r="B282" s="19" t="n"/>
      <c r="C282" s="17" t="n"/>
      <c r="D282" s="18">
        <f>IF(C282="","",C282+4)</f>
        <v/>
      </c>
      <c r="E282" s="20" t="n"/>
      <c r="F282" s="20" t="n"/>
      <c r="G282" s="17" t="n"/>
      <c r="H282" s="24">
        <f>IF(E282="","",E282-N(F282))</f>
        <v/>
      </c>
      <c r="I282">
        <f>IF(OR(H282="",N(H282)&lt;=0),0,MAX(0,Parametros!$B$2-D282))</f>
        <v/>
      </c>
      <c r="J282">
        <f>IF(E282="","",IF(H282&lt;=0,"Pagada",IF(I282=0,"Al día",IF(I282&lt;=15,"1-15",IF(I282&lt;=30,"16-30","Más de 30")))))</f>
        <v/>
      </c>
    </row>
    <row r="283">
      <c r="A283" s="19" t="n"/>
      <c r="B283" s="19" t="n"/>
      <c r="C283" s="17" t="n"/>
      <c r="D283" s="18">
        <f>IF(C283="","",C283+4)</f>
        <v/>
      </c>
      <c r="E283" s="20" t="n"/>
      <c r="F283" s="20" t="n"/>
      <c r="G283" s="17" t="n"/>
      <c r="H283" s="24">
        <f>IF(E283="","",E283-N(F283))</f>
        <v/>
      </c>
      <c r="I283">
        <f>IF(OR(H283="",N(H283)&lt;=0),0,MAX(0,Parametros!$B$2-D283))</f>
        <v/>
      </c>
      <c r="J283">
        <f>IF(E283="","",IF(H283&lt;=0,"Pagada",IF(I283=0,"Al día",IF(I283&lt;=15,"1-15",IF(I283&lt;=30,"16-30","Más de 30")))))</f>
        <v/>
      </c>
    </row>
    <row r="284">
      <c r="A284" s="19" t="n"/>
      <c r="B284" s="19" t="n"/>
      <c r="C284" s="17" t="n"/>
      <c r="D284" s="18">
        <f>IF(C284="","",C284+4)</f>
        <v/>
      </c>
      <c r="E284" s="20" t="n"/>
      <c r="F284" s="20" t="n"/>
      <c r="G284" s="17" t="n"/>
      <c r="H284" s="24">
        <f>IF(E284="","",E284-N(F284))</f>
        <v/>
      </c>
      <c r="I284">
        <f>IF(OR(H284="",N(H284)&lt;=0),0,MAX(0,Parametros!$B$2-D284))</f>
        <v/>
      </c>
      <c r="J284">
        <f>IF(E284="","",IF(H284&lt;=0,"Pagada",IF(I284=0,"Al día",IF(I284&lt;=15,"1-15",IF(I284&lt;=30,"16-30","Más de 30")))))</f>
        <v/>
      </c>
    </row>
    <row r="285">
      <c r="A285" s="19" t="n"/>
      <c r="B285" s="19" t="n"/>
      <c r="C285" s="17" t="n"/>
      <c r="D285" s="18">
        <f>IF(C285="","",C285+4)</f>
        <v/>
      </c>
      <c r="E285" s="20" t="n"/>
      <c r="F285" s="20" t="n"/>
      <c r="G285" s="17" t="n"/>
      <c r="H285" s="24">
        <f>IF(E285="","",E285-N(F285))</f>
        <v/>
      </c>
      <c r="I285">
        <f>IF(OR(H285="",N(H285)&lt;=0),0,MAX(0,Parametros!$B$2-D285))</f>
        <v/>
      </c>
      <c r="J285">
        <f>IF(E285="","",IF(H285&lt;=0,"Pagada",IF(I285=0,"Al día",IF(I285&lt;=15,"1-15",IF(I285&lt;=30,"16-30","Más de 30")))))</f>
        <v/>
      </c>
    </row>
    <row r="286">
      <c r="A286" s="19" t="n"/>
      <c r="B286" s="19" t="n"/>
      <c r="C286" s="17" t="n"/>
      <c r="D286" s="18">
        <f>IF(C286="","",C286+4)</f>
        <v/>
      </c>
      <c r="E286" s="20" t="n"/>
      <c r="F286" s="20" t="n"/>
      <c r="G286" s="17" t="n"/>
      <c r="H286" s="24">
        <f>IF(E286="","",E286-N(F286))</f>
        <v/>
      </c>
      <c r="I286">
        <f>IF(OR(H286="",N(H286)&lt;=0),0,MAX(0,Parametros!$B$2-D286))</f>
        <v/>
      </c>
      <c r="J286">
        <f>IF(E286="","",IF(H286&lt;=0,"Pagada",IF(I286=0,"Al día",IF(I286&lt;=15,"1-15",IF(I286&lt;=30,"16-30","Más de 30")))))</f>
        <v/>
      </c>
    </row>
    <row r="287">
      <c r="A287" s="19" t="n"/>
      <c r="B287" s="19" t="n"/>
      <c r="C287" s="17" t="n"/>
      <c r="D287" s="18">
        <f>IF(C287="","",C287+4)</f>
        <v/>
      </c>
      <c r="E287" s="20" t="n"/>
      <c r="F287" s="20" t="n"/>
      <c r="G287" s="17" t="n"/>
      <c r="H287" s="24">
        <f>IF(E287="","",E287-N(F287))</f>
        <v/>
      </c>
      <c r="I287">
        <f>IF(OR(H287="",N(H287)&lt;=0),0,MAX(0,Parametros!$B$2-D287))</f>
        <v/>
      </c>
      <c r="J287">
        <f>IF(E287="","",IF(H287&lt;=0,"Pagada",IF(I287=0,"Al día",IF(I287&lt;=15,"1-15",IF(I287&lt;=30,"16-30","Más de 30")))))</f>
        <v/>
      </c>
    </row>
    <row r="288">
      <c r="A288" s="19" t="n"/>
      <c r="B288" s="19" t="n"/>
      <c r="C288" s="17" t="n"/>
      <c r="D288" s="18">
        <f>IF(C288="","",C288+4)</f>
        <v/>
      </c>
      <c r="E288" s="20" t="n"/>
      <c r="F288" s="20" t="n"/>
      <c r="G288" s="17" t="n"/>
      <c r="H288" s="24">
        <f>IF(E288="","",E288-N(F288))</f>
        <v/>
      </c>
      <c r="I288">
        <f>IF(OR(H288="",N(H288)&lt;=0),0,MAX(0,Parametros!$B$2-D288))</f>
        <v/>
      </c>
      <c r="J288">
        <f>IF(E288="","",IF(H288&lt;=0,"Pagada",IF(I288=0,"Al día",IF(I288&lt;=15,"1-15",IF(I288&lt;=30,"16-30","Más de 30")))))</f>
        <v/>
      </c>
    </row>
    <row r="289">
      <c r="A289" s="19" t="n"/>
      <c r="B289" s="19" t="n"/>
      <c r="C289" s="17" t="n"/>
      <c r="D289" s="18">
        <f>IF(C289="","",C289+4)</f>
        <v/>
      </c>
      <c r="E289" s="20" t="n"/>
      <c r="F289" s="20" t="n"/>
      <c r="G289" s="17" t="n"/>
      <c r="H289" s="24">
        <f>IF(E289="","",E289-N(F289))</f>
        <v/>
      </c>
      <c r="I289">
        <f>IF(OR(H289="",N(H289)&lt;=0),0,MAX(0,Parametros!$B$2-D289))</f>
        <v/>
      </c>
      <c r="J289">
        <f>IF(E289="","",IF(H289&lt;=0,"Pagada",IF(I289=0,"Al día",IF(I289&lt;=15,"1-15",IF(I289&lt;=30,"16-30","Más de 30")))))</f>
        <v/>
      </c>
    </row>
    <row r="290">
      <c r="A290" s="19" t="n"/>
      <c r="B290" s="19" t="n"/>
      <c r="C290" s="17" t="n"/>
      <c r="D290" s="18">
        <f>IF(C290="","",C290+4)</f>
        <v/>
      </c>
      <c r="E290" s="20" t="n"/>
      <c r="F290" s="20" t="n"/>
      <c r="G290" s="17" t="n"/>
      <c r="H290" s="24">
        <f>IF(E290="","",E290-N(F290))</f>
        <v/>
      </c>
      <c r="I290">
        <f>IF(OR(H290="",N(H290)&lt;=0),0,MAX(0,Parametros!$B$2-D290))</f>
        <v/>
      </c>
      <c r="J290">
        <f>IF(E290="","",IF(H290&lt;=0,"Pagada",IF(I290=0,"Al día",IF(I290&lt;=15,"1-15",IF(I290&lt;=30,"16-30","Más de 30")))))</f>
        <v/>
      </c>
    </row>
    <row r="291">
      <c r="A291" s="19" t="n"/>
      <c r="B291" s="19" t="n"/>
      <c r="C291" s="17" t="n"/>
      <c r="D291" s="18">
        <f>IF(C291="","",C291+4)</f>
        <v/>
      </c>
      <c r="E291" s="20" t="n"/>
      <c r="F291" s="20" t="n"/>
      <c r="G291" s="17" t="n"/>
      <c r="H291" s="24">
        <f>IF(E291="","",E291-N(F291))</f>
        <v/>
      </c>
      <c r="I291">
        <f>IF(OR(H291="",N(H291)&lt;=0),0,MAX(0,Parametros!$B$2-D291))</f>
        <v/>
      </c>
      <c r="J291">
        <f>IF(E291="","",IF(H291&lt;=0,"Pagada",IF(I291=0,"Al día",IF(I291&lt;=15,"1-15",IF(I291&lt;=30,"16-30","Más de 30")))))</f>
        <v/>
      </c>
    </row>
    <row r="292">
      <c r="A292" s="19" t="n"/>
      <c r="B292" s="19" t="n"/>
      <c r="C292" s="17" t="n"/>
      <c r="D292" s="18">
        <f>IF(C292="","",C292+4)</f>
        <v/>
      </c>
      <c r="E292" s="20" t="n"/>
      <c r="F292" s="20" t="n"/>
      <c r="G292" s="17" t="n"/>
      <c r="H292" s="24">
        <f>IF(E292="","",E292-N(F292))</f>
        <v/>
      </c>
      <c r="I292">
        <f>IF(OR(H292="",N(H292)&lt;=0),0,MAX(0,Parametros!$B$2-D292))</f>
        <v/>
      </c>
      <c r="J292">
        <f>IF(E292="","",IF(H292&lt;=0,"Pagada",IF(I292=0,"Al día",IF(I292&lt;=15,"1-15",IF(I292&lt;=30,"16-30","Más de 30")))))</f>
        <v/>
      </c>
    </row>
    <row r="293">
      <c r="A293" s="19" t="n"/>
      <c r="B293" s="19" t="n"/>
      <c r="C293" s="17" t="n"/>
      <c r="D293" s="18">
        <f>IF(C293="","",C293+4)</f>
        <v/>
      </c>
      <c r="E293" s="20" t="n"/>
      <c r="F293" s="20" t="n"/>
      <c r="G293" s="17" t="n"/>
      <c r="H293" s="24">
        <f>IF(E293="","",E293-N(F293))</f>
        <v/>
      </c>
      <c r="I293">
        <f>IF(OR(H293="",N(H293)&lt;=0),0,MAX(0,Parametros!$B$2-D293))</f>
        <v/>
      </c>
      <c r="J293">
        <f>IF(E293="","",IF(H293&lt;=0,"Pagada",IF(I293=0,"Al día",IF(I293&lt;=15,"1-15",IF(I293&lt;=30,"16-30","Más de 30")))))</f>
        <v/>
      </c>
    </row>
    <row r="294">
      <c r="A294" s="19" t="n"/>
      <c r="B294" s="19" t="n"/>
      <c r="C294" s="17" t="n"/>
      <c r="D294" s="18">
        <f>IF(C294="","",C294+4)</f>
        <v/>
      </c>
      <c r="E294" s="20" t="n"/>
      <c r="F294" s="20" t="n"/>
      <c r="G294" s="17" t="n"/>
      <c r="H294" s="24">
        <f>IF(E294="","",E294-N(F294))</f>
        <v/>
      </c>
      <c r="I294">
        <f>IF(OR(H294="",N(H294)&lt;=0),0,MAX(0,Parametros!$B$2-D294))</f>
        <v/>
      </c>
      <c r="J294">
        <f>IF(E294="","",IF(H294&lt;=0,"Pagada",IF(I294=0,"Al día",IF(I294&lt;=15,"1-15",IF(I294&lt;=30,"16-30","Más de 30")))))</f>
        <v/>
      </c>
    </row>
    <row r="295">
      <c r="A295" s="19" t="n"/>
      <c r="B295" s="19" t="n"/>
      <c r="C295" s="17" t="n"/>
      <c r="D295" s="18">
        <f>IF(C295="","",C295+4)</f>
        <v/>
      </c>
      <c r="E295" s="20" t="n"/>
      <c r="F295" s="20" t="n"/>
      <c r="G295" s="17" t="n"/>
      <c r="H295" s="24">
        <f>IF(E295="","",E295-N(F295))</f>
        <v/>
      </c>
      <c r="I295">
        <f>IF(OR(H295="",N(H295)&lt;=0),0,MAX(0,Parametros!$B$2-D295))</f>
        <v/>
      </c>
      <c r="J295">
        <f>IF(E295="","",IF(H295&lt;=0,"Pagada",IF(I295=0,"Al día",IF(I295&lt;=15,"1-15",IF(I295&lt;=30,"16-30","Más de 30")))))</f>
        <v/>
      </c>
    </row>
    <row r="296">
      <c r="A296" s="19" t="n"/>
      <c r="B296" s="19" t="n"/>
      <c r="C296" s="17" t="n"/>
      <c r="D296" s="18">
        <f>IF(C296="","",C296+4)</f>
        <v/>
      </c>
      <c r="E296" s="20" t="n"/>
      <c r="F296" s="20" t="n"/>
      <c r="G296" s="17" t="n"/>
      <c r="H296" s="24">
        <f>IF(E296="","",E296-N(F296))</f>
        <v/>
      </c>
      <c r="I296">
        <f>IF(OR(H296="",N(H296)&lt;=0),0,MAX(0,Parametros!$B$2-D296))</f>
        <v/>
      </c>
      <c r="J296">
        <f>IF(E296="","",IF(H296&lt;=0,"Pagada",IF(I296=0,"Al día",IF(I296&lt;=15,"1-15",IF(I296&lt;=30,"16-30","Más de 30")))))</f>
        <v/>
      </c>
    </row>
    <row r="297">
      <c r="A297" s="19" t="n"/>
      <c r="B297" s="19" t="n"/>
      <c r="C297" s="17" t="n"/>
      <c r="D297" s="18">
        <f>IF(C297="","",C297+4)</f>
        <v/>
      </c>
      <c r="E297" s="20" t="n"/>
      <c r="F297" s="20" t="n"/>
      <c r="G297" s="17" t="n"/>
      <c r="H297" s="24">
        <f>IF(E297="","",E297-N(F297))</f>
        <v/>
      </c>
      <c r="I297">
        <f>IF(OR(H297="",N(H297)&lt;=0),0,MAX(0,Parametros!$B$2-D297))</f>
        <v/>
      </c>
      <c r="J297">
        <f>IF(E297="","",IF(H297&lt;=0,"Pagada",IF(I297=0,"Al día",IF(I297&lt;=15,"1-15",IF(I297&lt;=30,"16-30","Más de 30")))))</f>
        <v/>
      </c>
    </row>
    <row r="298">
      <c r="A298" s="19" t="n"/>
      <c r="B298" s="19" t="n"/>
      <c r="C298" s="17" t="n"/>
      <c r="D298" s="18">
        <f>IF(C298="","",C298+4)</f>
        <v/>
      </c>
      <c r="E298" s="20" t="n"/>
      <c r="F298" s="20" t="n"/>
      <c r="G298" s="17" t="n"/>
      <c r="H298" s="24">
        <f>IF(E298="","",E298-N(F298))</f>
        <v/>
      </c>
      <c r="I298">
        <f>IF(OR(H298="",N(H298)&lt;=0),0,MAX(0,Parametros!$B$2-D298))</f>
        <v/>
      </c>
      <c r="J298">
        <f>IF(E298="","",IF(H298&lt;=0,"Pagada",IF(I298=0,"Al día",IF(I298&lt;=15,"1-15",IF(I298&lt;=30,"16-30","Más de 30")))))</f>
        <v/>
      </c>
    </row>
    <row r="299">
      <c r="A299" s="19" t="n"/>
      <c r="B299" s="19" t="n"/>
      <c r="C299" s="17" t="n"/>
      <c r="D299" s="18">
        <f>IF(C299="","",C299+4)</f>
        <v/>
      </c>
      <c r="E299" s="20" t="n"/>
      <c r="F299" s="20" t="n"/>
      <c r="G299" s="17" t="n"/>
      <c r="H299" s="24">
        <f>IF(E299="","",E299-N(F299))</f>
        <v/>
      </c>
      <c r="I299">
        <f>IF(OR(H299="",N(H299)&lt;=0),0,MAX(0,Parametros!$B$2-D299))</f>
        <v/>
      </c>
      <c r="J299">
        <f>IF(E299="","",IF(H299&lt;=0,"Pagada",IF(I299=0,"Al día",IF(I299&lt;=15,"1-15",IF(I299&lt;=30,"16-30","Más de 30")))))</f>
        <v/>
      </c>
    </row>
    <row r="300">
      <c r="A300" s="19" t="n"/>
      <c r="B300" s="19" t="n"/>
      <c r="C300" s="17" t="n"/>
      <c r="D300" s="18">
        <f>IF(C300="","",C300+4)</f>
        <v/>
      </c>
      <c r="E300" s="20" t="n"/>
      <c r="F300" s="20" t="n"/>
      <c r="G300" s="17" t="n"/>
      <c r="H300" s="24">
        <f>IF(E300="","",E300-N(F300))</f>
        <v/>
      </c>
      <c r="I300">
        <f>IF(OR(H300="",N(H300)&lt;=0),0,MAX(0,Parametros!$B$2-D300))</f>
        <v/>
      </c>
      <c r="J300">
        <f>IF(E300="","",IF(H300&lt;=0,"Pagada",IF(I300=0,"Al día",IF(I300&lt;=15,"1-15",IF(I300&lt;=30,"16-30","Más de 30")))))</f>
        <v/>
      </c>
    </row>
    <row r="301">
      <c r="A301" s="19" t="n"/>
      <c r="B301" s="19" t="n"/>
      <c r="C301" s="17" t="n"/>
      <c r="D301" s="18">
        <f>IF(C301="","",C301+4)</f>
        <v/>
      </c>
      <c r="E301" s="20" t="n"/>
      <c r="F301" s="20" t="n"/>
      <c r="G301" s="17" t="n"/>
      <c r="H301" s="24">
        <f>IF(E301="","",E301-N(F301))</f>
        <v/>
      </c>
      <c r="I301">
        <f>IF(OR(H301="",N(H301)&lt;=0),0,MAX(0,Parametros!$B$2-D301))</f>
        <v/>
      </c>
      <c r="J301">
        <f>IF(E301="","",IF(H301&lt;=0,"Pagada",IF(I301=0,"Al día",IF(I301&lt;=15,"1-15",IF(I301&lt;=30,"16-30","Más de 30")))))</f>
        <v/>
      </c>
    </row>
  </sheetData>
  <autoFilter ref="A1:J301"/>
  <conditionalFormatting sqref="J2:J301">
    <cfRule type="cellIs" priority="1" operator="equal" dxfId="2">
      <formula>"Más de 30"</formula>
    </cfRule>
    <cfRule type="cellIs" priority="2" operator="equal" dxfId="1">
      <formula>"16-30"</formula>
    </cfRule>
    <cfRule type="cellIs" priority="3" operator="equal" dxfId="0">
      <formula>"Pagada"</formula>
    </cfRule>
  </conditionalFormatting>
  <dataValidations count="1">
    <dataValidation sqref="B2:B301" showDropDown="0" showInputMessage="0" showErrorMessage="0" allowBlank="1" type="list">
      <formula1>=Clientes!$A$2:$A$301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2026-10-16T00:13:15Z</dcterms:created>
  <dcterms:modified xsi:type="dcterms:W3CDTF">2026-10-16T00:13:15Z</dcterms:modified>
</cp:coreProperties>
</file>