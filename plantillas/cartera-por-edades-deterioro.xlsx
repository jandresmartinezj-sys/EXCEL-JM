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Resumen" sheetId="2" state="visible" r:id="rId2"/>
    <sheet name="Parametros" sheetId="3" state="visible" r:id="rId3"/>
    <sheet name="Facturas" sheetId="4" state="visible" r:id="rId4"/>
  </sheets>
  <definedNames>
    <definedName name="_xlnm._FilterDatabase" localSheetId="3" hidden="1">'Facturas'!$A$1:$L$501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#,##0;[Red]-#,##0"/>
  </numFmts>
  <fonts count="7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color rgb="000000FF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0" fillId="0" borderId="0" pivotButton="0" quotePrefix="0" xfId="0"/>
    <xf numFmtId="0" fontId="6" fillId="2" borderId="1" pivotButton="0" quotePrefix="0" xfId="0"/>
    <xf numFmtId="0" fontId="0" fillId="0" borderId="1" pivotButton="0" quotePrefix="0" xfId="0"/>
    <xf numFmtId="167" fontId="0" fillId="0" borderId="1" pivotButton="0" quotePrefix="0" xfId="0"/>
    <xf numFmtId="166" fontId="0" fillId="0" borderId="1" pivotButton="0" quotePrefix="0" xfId="0"/>
    <xf numFmtId="0" fontId="5" fillId="0" borderId="1" pivotButton="0" quotePrefix="0" xfId="0"/>
    <xf numFmtId="167" fontId="5" fillId="0" borderId="1" pivotButton="0" quotePrefix="0" xfId="0"/>
    <xf numFmtId="166" fontId="5" fillId="0" borderId="1" pivotButton="0" quotePrefix="0" xfId="0"/>
    <xf numFmtId="1" fontId="5" fillId="0" borderId="1" pivotButton="0" quotePrefix="0" xfId="0"/>
    <xf numFmtId="0" fontId="5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5" fontId="4" fillId="0" borderId="0" pivotButton="0" quotePrefix="0" xfId="0"/>
    <xf numFmtId="0" fontId="6" fillId="2" borderId="0" pivotButton="0" quotePrefix="0" xfId="0"/>
    <xf numFmtId="166" fontId="4" fillId="0" borderId="1" pivotButton="0" quotePrefix="0" xfId="0"/>
    <xf numFmtId="0" fontId="6" fillId="2" borderId="0" applyAlignment="1" pivotButton="0" quotePrefix="0" xfId="0">
      <alignment horizontal="center" wrapText="1"/>
    </xf>
    <xf numFmtId="0" fontId="4" fillId="0" borderId="0" pivotButton="0" quotePrefix="0" xfId="0"/>
    <xf numFmtId="167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Cartera por edades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'Resumen'!B4</f>
            </strRef>
          </tx>
          <spPr>
            <a:ln>
              <a:prstDash val="solid"/>
            </a:ln>
          </spPr>
          <cat>
            <numRef>
              <f>'Resumen'!$A$5:$A$11</f>
            </numRef>
          </cat>
          <val>
            <numRef>
              <f>'Resumen'!$B$5:$B$11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COP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CARTERA POR EDADES Y DETERIORO</t>
        </is>
      </c>
    </row>
    <row r="2">
      <c r="A2" s="2" t="inlineStr"/>
    </row>
    <row r="3">
      <c r="A3" s="2" t="inlineStr">
        <is>
          <t>1. En 'Parametros' define la fecha de corte y los % de deterioro por rango.</t>
        </is>
      </c>
    </row>
    <row r="4">
      <c r="A4" s="2" t="inlineStr">
        <is>
          <t>2. En 'Facturas' registra cada factura pendiente (columnas en azul). El resto se calcula solo.</t>
        </is>
      </c>
    </row>
    <row r="5">
      <c r="A5" s="2" t="inlineStr">
        <is>
          <t>3. 'Resumen' muestra la cartera por edades, % de participación, deterioro y alertas.</t>
        </is>
      </c>
    </row>
    <row r="6">
      <c r="A6" s="2" t="inlineStr"/>
    </row>
    <row r="7">
      <c r="A7" s="3" t="inlineStr">
        <is>
          <t>IMPORTANTE: los % de deterioro son EJEMPLOS. Ajústalos a la política contable de la empresa:</t>
        </is>
      </c>
    </row>
    <row r="8">
      <c r="A8" s="2" t="inlineStr">
        <is>
          <t>- NIIF plenas (Grupo 1): modelo de pérdida crediticia esperada (NIIF 9), p. ej. matriz de provisiones con históricos.</t>
        </is>
      </c>
    </row>
    <row r="9">
      <c r="A9" s="2" t="inlineStr">
        <is>
          <t>- NIIF para las Pymes (Grupo 2): deterioro con evidencia objetiva (Sección 11).</t>
        </is>
      </c>
    </row>
    <row r="10">
      <c r="A10" s="2" t="inlineStr">
        <is>
          <t>Esta plantilla es una herramienta de apoyo; no reemplaza el juicio profesional del contador.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RESUMEN DE CARTERA</t>
        </is>
      </c>
    </row>
    <row r="2">
      <c r="A2" t="inlineStr">
        <is>
          <t>Fecha de corte</t>
        </is>
      </c>
      <c r="B2" s="4">
        <f>Parametros!B1</f>
        <v/>
      </c>
    </row>
    <row r="4">
      <c r="A4" s="5" t="inlineStr">
        <is>
          <t>Rango</t>
        </is>
      </c>
      <c r="B4" s="5" t="inlineStr">
        <is>
          <t>Saldo</t>
        </is>
      </c>
      <c r="C4" s="5" t="inlineStr">
        <is>
          <t>% del total</t>
        </is>
      </c>
      <c r="D4" s="5" t="inlineStr">
        <is>
          <t>N.º facturas</t>
        </is>
      </c>
      <c r="E4" s="5" t="inlineStr">
        <is>
          <t>Deterioro</t>
        </is>
      </c>
    </row>
    <row r="5">
      <c r="A5" s="6" t="inlineStr">
        <is>
          <t>No vencida</t>
        </is>
      </c>
      <c r="B5" s="7">
        <f>SUMIFS(Facturas!$H$2:$H$501,Facturas!$J$2:$J$501,A5)</f>
        <v/>
      </c>
      <c r="C5" s="8">
        <f>IF($B$12=0,0,B5/$B$12)</f>
        <v/>
      </c>
      <c r="D5" s="6">
        <f>COUNTIFS(Facturas!$J$2:$J$501,A5)</f>
        <v/>
      </c>
      <c r="E5" s="7">
        <f>SUMIFS(Facturas!$L$2:$L$501,Facturas!$J$2:$J$501,A5)</f>
        <v/>
      </c>
    </row>
    <row r="6">
      <c r="A6" s="6" t="inlineStr">
        <is>
          <t>1-30</t>
        </is>
      </c>
      <c r="B6" s="7">
        <f>SUMIFS(Facturas!$H$2:$H$501,Facturas!$J$2:$J$501,A6)</f>
        <v/>
      </c>
      <c r="C6" s="8">
        <f>IF($B$12=0,0,B6/$B$12)</f>
        <v/>
      </c>
      <c r="D6" s="6">
        <f>COUNTIFS(Facturas!$J$2:$J$501,A6)</f>
        <v/>
      </c>
      <c r="E6" s="7">
        <f>SUMIFS(Facturas!$L$2:$L$501,Facturas!$J$2:$J$501,A6)</f>
        <v/>
      </c>
    </row>
    <row r="7">
      <c r="A7" s="6" t="inlineStr">
        <is>
          <t>31-60</t>
        </is>
      </c>
      <c r="B7" s="7">
        <f>SUMIFS(Facturas!$H$2:$H$501,Facturas!$J$2:$J$501,A7)</f>
        <v/>
      </c>
      <c r="C7" s="8">
        <f>IF($B$12=0,0,B7/$B$12)</f>
        <v/>
      </c>
      <c r="D7" s="6">
        <f>COUNTIFS(Facturas!$J$2:$J$501,A7)</f>
        <v/>
      </c>
      <c r="E7" s="7">
        <f>SUMIFS(Facturas!$L$2:$L$501,Facturas!$J$2:$J$501,A7)</f>
        <v/>
      </c>
    </row>
    <row r="8">
      <c r="A8" s="6" t="inlineStr">
        <is>
          <t>61-90</t>
        </is>
      </c>
      <c r="B8" s="7">
        <f>SUMIFS(Facturas!$H$2:$H$501,Facturas!$J$2:$J$501,A8)</f>
        <v/>
      </c>
      <c r="C8" s="8">
        <f>IF($B$12=0,0,B8/$B$12)</f>
        <v/>
      </c>
      <c r="D8" s="6">
        <f>COUNTIFS(Facturas!$J$2:$J$501,A8)</f>
        <v/>
      </c>
      <c r="E8" s="7">
        <f>SUMIFS(Facturas!$L$2:$L$501,Facturas!$J$2:$J$501,A8)</f>
        <v/>
      </c>
    </row>
    <row r="9">
      <c r="A9" s="6" t="inlineStr">
        <is>
          <t>91-180</t>
        </is>
      </c>
      <c r="B9" s="7">
        <f>SUMIFS(Facturas!$H$2:$H$501,Facturas!$J$2:$J$501,A9)</f>
        <v/>
      </c>
      <c r="C9" s="8">
        <f>IF($B$12=0,0,B9/$B$12)</f>
        <v/>
      </c>
      <c r="D9" s="6">
        <f>COUNTIFS(Facturas!$J$2:$J$501,A9)</f>
        <v/>
      </c>
      <c r="E9" s="7">
        <f>SUMIFS(Facturas!$L$2:$L$501,Facturas!$J$2:$J$501,A9)</f>
        <v/>
      </c>
    </row>
    <row r="10">
      <c r="A10" s="6" t="inlineStr">
        <is>
          <t>181-360</t>
        </is>
      </c>
      <c r="B10" s="7">
        <f>SUMIFS(Facturas!$H$2:$H$501,Facturas!$J$2:$J$501,A10)</f>
        <v/>
      </c>
      <c r="C10" s="8">
        <f>IF($B$12=0,0,B10/$B$12)</f>
        <v/>
      </c>
      <c r="D10" s="6">
        <f>COUNTIFS(Facturas!$J$2:$J$501,A10)</f>
        <v/>
      </c>
      <c r="E10" s="7">
        <f>SUMIFS(Facturas!$L$2:$L$501,Facturas!$J$2:$J$501,A10)</f>
        <v/>
      </c>
    </row>
    <row r="11">
      <c r="A11" s="6" t="inlineStr">
        <is>
          <t>Más de 360</t>
        </is>
      </c>
      <c r="B11" s="7">
        <f>SUMIFS(Facturas!$H$2:$H$501,Facturas!$J$2:$J$501,A11)</f>
        <v/>
      </c>
      <c r="C11" s="8">
        <f>IF($B$12=0,0,B11/$B$12)</f>
        <v/>
      </c>
      <c r="D11" s="6">
        <f>COUNTIFS(Facturas!$J$2:$J$501,A11)</f>
        <v/>
      </c>
      <c r="E11" s="7">
        <f>SUMIFS(Facturas!$L$2:$L$501,Facturas!$J$2:$J$501,A11)</f>
        <v/>
      </c>
    </row>
    <row r="12">
      <c r="A12" s="9" t="inlineStr">
        <is>
          <t>TOTAL</t>
        </is>
      </c>
      <c r="B12" s="10">
        <f>SUM(B5:B11)</f>
        <v/>
      </c>
      <c r="C12" s="11">
        <f>SUM(C5:C11)</f>
        <v/>
      </c>
      <c r="D12" s="12">
        <f>SUM(D5:D11)</f>
        <v/>
      </c>
      <c r="E12" s="10">
        <f>SUM(E5:E11)</f>
        <v/>
      </c>
    </row>
    <row r="14">
      <c r="A14" s="13" t="inlineStr">
        <is>
          <t>INDICADORES</t>
        </is>
      </c>
    </row>
    <row r="15">
      <c r="A15" t="inlineStr">
        <is>
          <t>Cartera vencida (%)</t>
        </is>
      </c>
      <c r="B15" s="14">
        <f>IF(B12=0,0,1-B5/B12)</f>
        <v/>
      </c>
    </row>
    <row r="16">
      <c r="A16" t="inlineStr">
        <is>
          <t>Cartera &gt; 180 días (%)</t>
        </is>
      </c>
      <c r="B16" s="14">
        <f>IF(B12=0,0,(B10+B11)/B12)</f>
        <v/>
      </c>
    </row>
    <row r="17">
      <c r="A17" t="inlineStr">
        <is>
          <t>Deterioro / cartera (%)</t>
        </is>
      </c>
      <c r="B17" s="14">
        <f>IF(B12=0,0,E12/B12)</f>
        <v/>
      </c>
    </row>
    <row r="18">
      <c r="A18" t="inlineStr">
        <is>
          <t>Cartera neta de deterioro</t>
        </is>
      </c>
      <c r="B18" s="15">
        <f>B12-E12</f>
        <v/>
      </c>
    </row>
    <row r="20">
      <c r="A20" s="13" t="inlineStr">
        <is>
          <t>Alerta</t>
        </is>
      </c>
      <c r="B20">
        <f>IF(B16&gt;0.3,"ALTA: más del 30% de la cartera supera 180 días",IF(B15&gt;0.5,"MEDIA: más de la mitad de la cartera está vencida","Normal"))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13" t="inlineStr">
        <is>
          <t>Fecha de corte</t>
        </is>
      </c>
      <c r="B1" s="16" t="n">
        <v>46295</v>
      </c>
    </row>
    <row r="3">
      <c r="A3" s="17" t="inlineStr">
        <is>
          <t>Rango</t>
        </is>
      </c>
      <c r="B3" s="17" t="inlineStr">
        <is>
          <t>% deterioro</t>
        </is>
      </c>
    </row>
    <row r="4">
      <c r="A4" s="6" t="inlineStr">
        <is>
          <t>No vencida</t>
        </is>
      </c>
      <c r="B4" s="18" t="n">
        <v>0</v>
      </c>
    </row>
    <row r="5">
      <c r="A5" s="6" t="inlineStr">
        <is>
          <t>1-30</t>
        </is>
      </c>
      <c r="B5" s="18" t="n">
        <v>0.01</v>
      </c>
    </row>
    <row r="6">
      <c r="A6" s="6" t="inlineStr">
        <is>
          <t>31-60</t>
        </is>
      </c>
      <c r="B6" s="18" t="n">
        <v>0.05</v>
      </c>
    </row>
    <row r="7">
      <c r="A7" s="6" t="inlineStr">
        <is>
          <t>61-90</t>
        </is>
      </c>
      <c r="B7" s="18" t="n">
        <v>0.1</v>
      </c>
    </row>
    <row r="8">
      <c r="A8" s="6" t="inlineStr">
        <is>
          <t>91-180</t>
        </is>
      </c>
      <c r="B8" s="18" t="n">
        <v>0.25</v>
      </c>
    </row>
    <row r="9">
      <c r="A9" s="6" t="inlineStr">
        <is>
          <t>181-360</t>
        </is>
      </c>
      <c r="B9" s="18" t="n">
        <v>0.5</v>
      </c>
    </row>
    <row r="10">
      <c r="A10" s="6" t="inlineStr">
        <is>
          <t>Más de 360</t>
        </is>
      </c>
      <c r="B10" s="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3" customWidth="1" min="4" max="4"/>
    <col width="13" customWidth="1" min="5" max="5"/>
    <col width="15" customWidth="1" min="6" max="6"/>
    <col width="13" customWidth="1" min="7" max="7"/>
    <col width="15" customWidth="1" min="8" max="8"/>
    <col width="10" customWidth="1" min="9" max="9"/>
    <col width="12" customWidth="1" min="10" max="10"/>
    <col width="11" customWidth="1" min="11" max="11"/>
    <col width="15" customWidth="1" min="12" max="12"/>
  </cols>
  <sheetData>
    <row r="1">
      <c r="A1" s="19" t="inlineStr">
        <is>
          <t>Cliente</t>
        </is>
      </c>
      <c r="B1" s="19" t="inlineStr">
        <is>
          <t>NIT</t>
        </is>
      </c>
      <c r="C1" s="19" t="inlineStr">
        <is>
          <t>N.º factura</t>
        </is>
      </c>
      <c r="D1" s="19" t="inlineStr">
        <is>
          <t>Fecha emisión</t>
        </is>
      </c>
      <c r="E1" s="19" t="inlineStr">
        <is>
          <t>Fecha vencimiento</t>
        </is>
      </c>
      <c r="F1" s="19" t="inlineStr">
        <is>
          <t>Valor</t>
        </is>
      </c>
      <c r="G1" s="19" t="inlineStr">
        <is>
          <t>Abonos</t>
        </is>
      </c>
      <c r="H1" s="19" t="inlineStr">
        <is>
          <t>Saldo</t>
        </is>
      </c>
      <c r="I1" s="19" t="inlineStr">
        <is>
          <t>Días mora</t>
        </is>
      </c>
      <c r="J1" s="19" t="inlineStr">
        <is>
          <t>Rango</t>
        </is>
      </c>
      <c r="K1" s="19" t="inlineStr">
        <is>
          <t>% deterioro</t>
        </is>
      </c>
      <c r="L1" s="19" t="inlineStr">
        <is>
          <t>Deterioro</t>
        </is>
      </c>
    </row>
    <row r="2">
      <c r="A2" s="20" t="inlineStr">
        <is>
          <t>Comercializadora Andina SAS</t>
        </is>
      </c>
      <c r="B2" s="20" t="inlineStr">
        <is>
          <t>900111222</t>
        </is>
      </c>
      <c r="C2" s="20" t="inlineStr">
        <is>
          <t>FE-1002</t>
        </is>
      </c>
      <c r="D2" s="16" t="n">
        <v>45815</v>
      </c>
      <c r="E2" s="16" t="n">
        <v>45875</v>
      </c>
      <c r="F2" s="21" t="n">
        <v>2400000</v>
      </c>
      <c r="G2" s="21" t="n"/>
      <c r="H2" s="15">
        <f>IF(F2="","",F2-N(G2))</f>
        <v/>
      </c>
      <c r="I2">
        <f>IF(OR(F2="",E2=""),"",MAX(0,Parametros!$B$1-E2))</f>
        <v/>
      </c>
      <c r="J2">
        <f>IF(OR(H2="",I2=""),"",IF(H2&lt;=0,"Pagada",IF(I2=0,"No vencida",IF(I2&lt;=30,"1-30",IF(I2&lt;=60,"31-60",IF(I2&lt;=90,"61-90",IF(I2&lt;=180,"91-180",IF(I2&lt;=360,"181-360","Más de 360"))))))))</f>
        <v/>
      </c>
      <c r="K2" s="14">
        <f>IF(OR(J2="",J2="Pagada"),"",VLOOKUP(J2,Parametros!$A$4:$B$10,2,FALSE))</f>
        <v/>
      </c>
      <c r="L2" s="15">
        <f>IF(K2="","",H2*K2)</f>
        <v/>
      </c>
    </row>
    <row r="3">
      <c r="A3" s="20" t="inlineStr">
        <is>
          <t>Distribuciones El Sol SAS</t>
        </is>
      </c>
      <c r="B3" s="20" t="inlineStr">
        <is>
          <t>900333444</t>
        </is>
      </c>
      <c r="C3" s="20" t="inlineStr">
        <is>
          <t>FE-1003</t>
        </is>
      </c>
      <c r="D3" s="16" t="n">
        <v>46190</v>
      </c>
      <c r="E3" s="16" t="n">
        <v>46235</v>
      </c>
      <c r="F3" s="21" t="n">
        <v>1850000</v>
      </c>
      <c r="G3" s="21" t="n">
        <v>350000</v>
      </c>
      <c r="H3" s="15">
        <f>IF(F3="","",F3-N(G3))</f>
        <v/>
      </c>
      <c r="I3">
        <f>IF(OR(F3="",E3=""),"",MAX(0,Parametros!$B$1-E3))</f>
        <v/>
      </c>
      <c r="J3">
        <f>IF(OR(H3="",I3=""),"",IF(H3&lt;=0,"Pagada",IF(I3=0,"No vencida",IF(I3&lt;=30,"1-30",IF(I3&lt;=60,"31-60",IF(I3&lt;=90,"61-90",IF(I3&lt;=180,"91-180",IF(I3&lt;=360,"181-360","Más de 360"))))))))</f>
        <v/>
      </c>
      <c r="K3" s="14">
        <f>IF(OR(J3="",J3="Pagada"),"",VLOOKUP(J3,Parametros!$A$4:$B$10,2,FALSE))</f>
        <v/>
      </c>
      <c r="L3" s="15">
        <f>IF(K3="","",H3*K3)</f>
        <v/>
      </c>
    </row>
    <row r="4">
      <c r="A4" s="20" t="inlineStr">
        <is>
          <t>Ferretería La Central</t>
        </is>
      </c>
      <c r="B4" s="20" t="inlineStr">
        <is>
          <t>800555666</t>
        </is>
      </c>
      <c r="C4" s="20" t="inlineStr">
        <is>
          <t>FE-1004</t>
        </is>
      </c>
      <c r="D4" s="16" t="n">
        <v>46225</v>
      </c>
      <c r="E4" s="16" t="n">
        <v>46285</v>
      </c>
      <c r="F4" s="21" t="n">
        <v>980000</v>
      </c>
      <c r="G4" s="21" t="n"/>
      <c r="H4" s="15">
        <f>IF(F4="","",F4-N(G4))</f>
        <v/>
      </c>
      <c r="I4">
        <f>IF(OR(F4="",E4=""),"",MAX(0,Parametros!$B$1-E4))</f>
        <v/>
      </c>
      <c r="J4">
        <f>IF(OR(H4="",I4=""),"",IF(H4&lt;=0,"Pagada",IF(I4=0,"No vencida",IF(I4&lt;=30,"1-30",IF(I4&lt;=60,"31-60",IF(I4&lt;=90,"61-90",IF(I4&lt;=180,"91-180",IF(I4&lt;=360,"181-360","Más de 360"))))))))</f>
        <v/>
      </c>
      <c r="K4" s="14">
        <f>IF(OR(J4="",J4="Pagada"),"",VLOOKUP(J4,Parametros!$A$4:$B$10,2,FALSE))</f>
        <v/>
      </c>
      <c r="L4" s="15">
        <f>IF(K4="","",H4*K4)</f>
        <v/>
      </c>
    </row>
    <row r="5">
      <c r="A5" s="20" t="inlineStr">
        <is>
          <t>Inversiones Río Claro SAS</t>
        </is>
      </c>
      <c r="B5" s="20" t="inlineStr">
        <is>
          <t>901777888</t>
        </is>
      </c>
      <c r="C5" s="20" t="inlineStr">
        <is>
          <t>FE-1005</t>
        </is>
      </c>
      <c r="D5" s="16" t="n">
        <v>46250</v>
      </c>
      <c r="E5" s="16" t="n">
        <v>46305</v>
      </c>
      <c r="F5" s="21" t="n">
        <v>3200000</v>
      </c>
      <c r="G5" s="21" t="n"/>
      <c r="H5" s="15">
        <f>IF(F5="","",F5-N(G5))</f>
        <v/>
      </c>
      <c r="I5">
        <f>IF(OR(F5="",E5=""),"",MAX(0,Parametros!$B$1-E5))</f>
        <v/>
      </c>
      <c r="J5">
        <f>IF(OR(H5="",I5=""),"",IF(H5&lt;=0,"Pagada",IF(I5=0,"No vencida",IF(I5&lt;=30,"1-30",IF(I5&lt;=60,"31-60",IF(I5&lt;=90,"61-90",IF(I5&lt;=180,"91-180",IF(I5&lt;=360,"181-360","Más de 360"))))))))</f>
        <v/>
      </c>
      <c r="K5" s="14">
        <f>IF(OR(J5="",J5="Pagada"),"",VLOOKUP(J5,Parametros!$A$4:$B$10,2,FALSE))</f>
        <v/>
      </c>
      <c r="L5" s="15">
        <f>IF(K5="","",H5*K5)</f>
        <v/>
      </c>
    </row>
    <row r="6">
      <c r="A6" s="20" t="inlineStr">
        <is>
          <t>Servicios Médicos Norte IPS</t>
        </is>
      </c>
      <c r="B6" s="20" t="inlineStr">
        <is>
          <t>900999000</t>
        </is>
      </c>
      <c r="C6" s="20" t="inlineStr">
        <is>
          <t>FE-1006</t>
        </is>
      </c>
      <c r="D6" s="16" t="n">
        <v>46065</v>
      </c>
      <c r="E6" s="16" t="n">
        <v>46125</v>
      </c>
      <c r="F6" s="21" t="n">
        <v>5600000</v>
      </c>
      <c r="G6" s="21" t="n">
        <v>1000000</v>
      </c>
      <c r="H6" s="15">
        <f>IF(F6="","",F6-N(G6))</f>
        <v/>
      </c>
      <c r="I6">
        <f>IF(OR(F6="",E6=""),"",MAX(0,Parametros!$B$1-E6))</f>
        <v/>
      </c>
      <c r="J6">
        <f>IF(OR(H6="",I6=""),"",IF(H6&lt;=0,"Pagada",IF(I6=0,"No vencida",IF(I6&lt;=30,"1-30",IF(I6&lt;=60,"31-60",IF(I6&lt;=90,"61-90",IF(I6&lt;=180,"91-180",IF(I6&lt;=360,"181-360","Más de 360"))))))))</f>
        <v/>
      </c>
      <c r="K6" s="14">
        <f>IF(OR(J6="",J6="Pagada"),"",VLOOKUP(J6,Parametros!$A$4:$B$10,2,FALSE))</f>
        <v/>
      </c>
      <c r="L6" s="15">
        <f>IF(K6="","",H6*K6)</f>
        <v/>
      </c>
    </row>
    <row r="7">
      <c r="A7" s="20" t="inlineStr">
        <is>
          <t>Tienda Naturista Vida</t>
        </is>
      </c>
      <c r="B7" s="20" t="inlineStr">
        <is>
          <t>1067123456</t>
        </is>
      </c>
      <c r="C7" s="20" t="inlineStr">
        <is>
          <t>FE-1007</t>
        </is>
      </c>
      <c r="D7" s="16" t="n">
        <v>45845</v>
      </c>
      <c r="E7" s="16" t="n">
        <v>45895</v>
      </c>
      <c r="F7" s="21" t="n">
        <v>760000</v>
      </c>
      <c r="G7" s="21" t="n"/>
      <c r="H7" s="15">
        <f>IF(F7="","",F7-N(G7))</f>
        <v/>
      </c>
      <c r="I7">
        <f>IF(OR(F7="",E7=""),"",MAX(0,Parametros!$B$1-E7))</f>
        <v/>
      </c>
      <c r="J7">
        <f>IF(OR(H7="",I7=""),"",IF(H7&lt;=0,"Pagada",IF(I7=0,"No vencida",IF(I7&lt;=30,"1-30",IF(I7&lt;=60,"31-60",IF(I7&lt;=90,"61-90",IF(I7&lt;=180,"91-180",IF(I7&lt;=360,"181-360","Más de 360"))))))))</f>
        <v/>
      </c>
      <c r="K7" s="14">
        <f>IF(OR(J7="",J7="Pagada"),"",VLOOKUP(J7,Parametros!$A$4:$B$10,2,FALSE))</f>
        <v/>
      </c>
      <c r="L7" s="15">
        <f>IF(K7="","",H7*K7)</f>
        <v/>
      </c>
    </row>
    <row r="8">
      <c r="A8" s="20" t="inlineStr">
        <is>
          <t>Comercializadora Andina SAS</t>
        </is>
      </c>
      <c r="B8" s="20" t="inlineStr">
        <is>
          <t>900111222</t>
        </is>
      </c>
      <c r="C8" s="20" t="inlineStr">
        <is>
          <t>FE-1008</t>
        </is>
      </c>
      <c r="D8" s="16" t="n">
        <v>46235</v>
      </c>
      <c r="E8" s="16" t="n">
        <v>46290</v>
      </c>
      <c r="F8" s="21" t="n">
        <v>1100000</v>
      </c>
      <c r="G8" s="21" t="n">
        <v>1100000</v>
      </c>
      <c r="H8" s="15">
        <f>IF(F8="","",F8-N(G8))</f>
        <v/>
      </c>
      <c r="I8">
        <f>IF(OR(F8="",E8=""),"",MAX(0,Parametros!$B$1-E8))</f>
        <v/>
      </c>
      <c r="J8">
        <f>IF(OR(H8="",I8=""),"",IF(H8&lt;=0,"Pagada",IF(I8=0,"No vencida",IF(I8&lt;=30,"1-30",IF(I8&lt;=60,"31-60",IF(I8&lt;=90,"61-90",IF(I8&lt;=180,"91-180",IF(I8&lt;=360,"181-360","Más de 360"))))))))</f>
        <v/>
      </c>
      <c r="K8" s="14">
        <f>IF(OR(J8="",J8="Pagada"),"",VLOOKUP(J8,Parametros!$A$4:$B$10,2,FALSE))</f>
        <v/>
      </c>
      <c r="L8" s="15">
        <f>IF(K8="","",H8*K8)</f>
        <v/>
      </c>
    </row>
    <row r="9">
      <c r="A9" s="20" t="inlineStr">
        <is>
          <t>Constructora Horizonte SAS</t>
        </is>
      </c>
      <c r="B9" s="20" t="inlineStr">
        <is>
          <t>901222333</t>
        </is>
      </c>
      <c r="C9" s="20" t="inlineStr">
        <is>
          <t>FE-1009</t>
        </is>
      </c>
      <c r="D9" s="16" t="n">
        <v>45965</v>
      </c>
      <c r="E9" s="16" t="n">
        <v>46025</v>
      </c>
      <c r="F9" s="21" t="n">
        <v>8900000</v>
      </c>
      <c r="G9" s="21" t="n">
        <v>2000000</v>
      </c>
      <c r="H9" s="15">
        <f>IF(F9="","",F9-N(G9))</f>
        <v/>
      </c>
      <c r="I9">
        <f>IF(OR(F9="",E9=""),"",MAX(0,Parametros!$B$1-E9))</f>
        <v/>
      </c>
      <c r="J9">
        <f>IF(OR(H9="",I9=""),"",IF(H9&lt;=0,"Pagada",IF(I9=0,"No vencida",IF(I9&lt;=30,"1-30",IF(I9&lt;=60,"31-60",IF(I9&lt;=90,"61-90",IF(I9&lt;=180,"91-180",IF(I9&lt;=360,"181-360","Más de 360"))))))))</f>
        <v/>
      </c>
      <c r="K9" s="14">
        <f>IF(OR(J9="",J9="Pagada"),"",VLOOKUP(J9,Parametros!$A$4:$B$10,2,FALSE))</f>
        <v/>
      </c>
      <c r="L9" s="15">
        <f>IF(K9="","",H9*K9)</f>
        <v/>
      </c>
    </row>
    <row r="10">
      <c r="A10" s="20" t="n"/>
      <c r="B10" s="20" t="n"/>
      <c r="C10" s="20" t="n"/>
      <c r="D10" s="16" t="n"/>
      <c r="E10" s="16" t="n"/>
      <c r="F10" s="21" t="n"/>
      <c r="G10" s="21" t="n"/>
      <c r="H10" s="15">
        <f>IF(F10="","",F10-N(G10))</f>
        <v/>
      </c>
      <c r="I10">
        <f>IF(OR(F10="",E10=""),"",MAX(0,Parametros!$B$1-E10))</f>
        <v/>
      </c>
      <c r="J10">
        <f>IF(OR(H10="",I10=""),"",IF(H10&lt;=0,"Pagada",IF(I10=0,"No vencida",IF(I10&lt;=30,"1-30",IF(I10&lt;=60,"31-60",IF(I10&lt;=90,"61-90",IF(I10&lt;=180,"91-180",IF(I10&lt;=360,"181-360","Más de 360"))))))))</f>
        <v/>
      </c>
      <c r="K10" s="14">
        <f>IF(OR(J10="",J10="Pagada"),"",VLOOKUP(J10,Parametros!$A$4:$B$10,2,FALSE))</f>
        <v/>
      </c>
      <c r="L10" s="15">
        <f>IF(K10="","",H10*K10)</f>
        <v/>
      </c>
    </row>
    <row r="11">
      <c r="A11" s="20" t="n"/>
      <c r="B11" s="20" t="n"/>
      <c r="C11" s="20" t="n"/>
      <c r="D11" s="16" t="n"/>
      <c r="E11" s="16" t="n"/>
      <c r="F11" s="21" t="n"/>
      <c r="G11" s="21" t="n"/>
      <c r="H11" s="15">
        <f>IF(F11="","",F11-N(G11))</f>
        <v/>
      </c>
      <c r="I11">
        <f>IF(OR(F11="",E11=""),"",MAX(0,Parametros!$B$1-E11))</f>
        <v/>
      </c>
      <c r="J11">
        <f>IF(OR(H11="",I11=""),"",IF(H11&lt;=0,"Pagada",IF(I11=0,"No vencida",IF(I11&lt;=30,"1-30",IF(I11&lt;=60,"31-60",IF(I11&lt;=90,"61-90",IF(I11&lt;=180,"91-180",IF(I11&lt;=360,"181-360","Más de 360"))))))))</f>
        <v/>
      </c>
      <c r="K11" s="14">
        <f>IF(OR(J11="",J11="Pagada"),"",VLOOKUP(J11,Parametros!$A$4:$B$10,2,FALSE))</f>
        <v/>
      </c>
      <c r="L11" s="15">
        <f>IF(K11="","",H11*K11)</f>
        <v/>
      </c>
    </row>
    <row r="12">
      <c r="A12" s="20" t="n"/>
      <c r="B12" s="20" t="n"/>
      <c r="C12" s="20" t="n"/>
      <c r="D12" s="16" t="n"/>
      <c r="E12" s="16" t="n"/>
      <c r="F12" s="21" t="n"/>
      <c r="G12" s="21" t="n"/>
      <c r="H12" s="15">
        <f>IF(F12="","",F12-N(G12))</f>
        <v/>
      </c>
      <c r="I12">
        <f>IF(OR(F12="",E12=""),"",MAX(0,Parametros!$B$1-E12))</f>
        <v/>
      </c>
      <c r="J12">
        <f>IF(OR(H12="",I12=""),"",IF(H12&lt;=0,"Pagada",IF(I12=0,"No vencida",IF(I12&lt;=30,"1-30",IF(I12&lt;=60,"31-60",IF(I12&lt;=90,"61-90",IF(I12&lt;=180,"91-180",IF(I12&lt;=360,"181-360","Más de 360"))))))))</f>
        <v/>
      </c>
      <c r="K12" s="14">
        <f>IF(OR(J12="",J12="Pagada"),"",VLOOKUP(J12,Parametros!$A$4:$B$10,2,FALSE))</f>
        <v/>
      </c>
      <c r="L12" s="15">
        <f>IF(K12="","",H12*K12)</f>
        <v/>
      </c>
    </row>
    <row r="13">
      <c r="A13" s="20" t="n"/>
      <c r="B13" s="20" t="n"/>
      <c r="C13" s="20" t="n"/>
      <c r="D13" s="16" t="n"/>
      <c r="E13" s="16" t="n"/>
      <c r="F13" s="21" t="n"/>
      <c r="G13" s="21" t="n"/>
      <c r="H13" s="15">
        <f>IF(F13="","",F13-N(G13))</f>
        <v/>
      </c>
      <c r="I13">
        <f>IF(OR(F13="",E13=""),"",MAX(0,Parametros!$B$1-E13))</f>
        <v/>
      </c>
      <c r="J13">
        <f>IF(OR(H13="",I13=""),"",IF(H13&lt;=0,"Pagada",IF(I13=0,"No vencida",IF(I13&lt;=30,"1-30",IF(I13&lt;=60,"31-60",IF(I13&lt;=90,"61-90",IF(I13&lt;=180,"91-180",IF(I13&lt;=360,"181-360","Más de 360"))))))))</f>
        <v/>
      </c>
      <c r="K13" s="14">
        <f>IF(OR(J13="",J13="Pagada"),"",VLOOKUP(J13,Parametros!$A$4:$B$10,2,FALSE))</f>
        <v/>
      </c>
      <c r="L13" s="15">
        <f>IF(K13="","",H13*K13)</f>
        <v/>
      </c>
    </row>
    <row r="14">
      <c r="A14" s="20" t="n"/>
      <c r="B14" s="20" t="n"/>
      <c r="C14" s="20" t="n"/>
      <c r="D14" s="16" t="n"/>
      <c r="E14" s="16" t="n"/>
      <c r="F14" s="21" t="n"/>
      <c r="G14" s="21" t="n"/>
      <c r="H14" s="15">
        <f>IF(F14="","",F14-N(G14))</f>
        <v/>
      </c>
      <c r="I14">
        <f>IF(OR(F14="",E14=""),"",MAX(0,Parametros!$B$1-E14))</f>
        <v/>
      </c>
      <c r="J14">
        <f>IF(OR(H14="",I14=""),"",IF(H14&lt;=0,"Pagada",IF(I14=0,"No vencida",IF(I14&lt;=30,"1-30",IF(I14&lt;=60,"31-60",IF(I14&lt;=90,"61-90",IF(I14&lt;=180,"91-180",IF(I14&lt;=360,"181-360","Más de 360"))))))))</f>
        <v/>
      </c>
      <c r="K14" s="14">
        <f>IF(OR(J14="",J14="Pagada"),"",VLOOKUP(J14,Parametros!$A$4:$B$10,2,FALSE))</f>
        <v/>
      </c>
      <c r="L14" s="15">
        <f>IF(K14="","",H14*K14)</f>
        <v/>
      </c>
    </row>
    <row r="15">
      <c r="A15" s="20" t="n"/>
      <c r="B15" s="20" t="n"/>
      <c r="C15" s="20" t="n"/>
      <c r="D15" s="16" t="n"/>
      <c r="E15" s="16" t="n"/>
      <c r="F15" s="21" t="n"/>
      <c r="G15" s="21" t="n"/>
      <c r="H15" s="15">
        <f>IF(F15="","",F15-N(G15))</f>
        <v/>
      </c>
      <c r="I15">
        <f>IF(OR(F15="",E15=""),"",MAX(0,Parametros!$B$1-E15))</f>
        <v/>
      </c>
      <c r="J15">
        <f>IF(OR(H15="",I15=""),"",IF(H15&lt;=0,"Pagada",IF(I15=0,"No vencida",IF(I15&lt;=30,"1-30",IF(I15&lt;=60,"31-60",IF(I15&lt;=90,"61-90",IF(I15&lt;=180,"91-180",IF(I15&lt;=360,"181-360","Más de 360"))))))))</f>
        <v/>
      </c>
      <c r="K15" s="14">
        <f>IF(OR(J15="",J15="Pagada"),"",VLOOKUP(J15,Parametros!$A$4:$B$10,2,FALSE))</f>
        <v/>
      </c>
      <c r="L15" s="15">
        <f>IF(K15="","",H15*K15)</f>
        <v/>
      </c>
    </row>
    <row r="16">
      <c r="A16" s="20" t="n"/>
      <c r="B16" s="20" t="n"/>
      <c r="C16" s="20" t="n"/>
      <c r="D16" s="16" t="n"/>
      <c r="E16" s="16" t="n"/>
      <c r="F16" s="21" t="n"/>
      <c r="G16" s="21" t="n"/>
      <c r="H16" s="15">
        <f>IF(F16="","",F16-N(G16))</f>
        <v/>
      </c>
      <c r="I16">
        <f>IF(OR(F16="",E16=""),"",MAX(0,Parametros!$B$1-E16))</f>
        <v/>
      </c>
      <c r="J16">
        <f>IF(OR(H16="",I16=""),"",IF(H16&lt;=0,"Pagada",IF(I16=0,"No vencida",IF(I16&lt;=30,"1-30",IF(I16&lt;=60,"31-60",IF(I16&lt;=90,"61-90",IF(I16&lt;=180,"91-180",IF(I16&lt;=360,"181-360","Más de 360"))))))))</f>
        <v/>
      </c>
      <c r="K16" s="14">
        <f>IF(OR(J16="",J16="Pagada"),"",VLOOKUP(J16,Parametros!$A$4:$B$10,2,FALSE))</f>
        <v/>
      </c>
      <c r="L16" s="15">
        <f>IF(K16="","",H16*K16)</f>
        <v/>
      </c>
    </row>
    <row r="17">
      <c r="A17" s="20" t="n"/>
      <c r="B17" s="20" t="n"/>
      <c r="C17" s="20" t="n"/>
      <c r="D17" s="16" t="n"/>
      <c r="E17" s="16" t="n"/>
      <c r="F17" s="21" t="n"/>
      <c r="G17" s="21" t="n"/>
      <c r="H17" s="15">
        <f>IF(F17="","",F17-N(G17))</f>
        <v/>
      </c>
      <c r="I17">
        <f>IF(OR(F17="",E17=""),"",MAX(0,Parametros!$B$1-E17))</f>
        <v/>
      </c>
      <c r="J17">
        <f>IF(OR(H17="",I17=""),"",IF(H17&lt;=0,"Pagada",IF(I17=0,"No vencida",IF(I17&lt;=30,"1-30",IF(I17&lt;=60,"31-60",IF(I17&lt;=90,"61-90",IF(I17&lt;=180,"91-180",IF(I17&lt;=360,"181-360","Más de 360"))))))))</f>
        <v/>
      </c>
      <c r="K17" s="14">
        <f>IF(OR(J17="",J17="Pagada"),"",VLOOKUP(J17,Parametros!$A$4:$B$10,2,FALSE))</f>
        <v/>
      </c>
      <c r="L17" s="15">
        <f>IF(K17="","",H17*K17)</f>
        <v/>
      </c>
    </row>
    <row r="18">
      <c r="A18" s="20" t="n"/>
      <c r="B18" s="20" t="n"/>
      <c r="C18" s="20" t="n"/>
      <c r="D18" s="16" t="n"/>
      <c r="E18" s="16" t="n"/>
      <c r="F18" s="21" t="n"/>
      <c r="G18" s="21" t="n"/>
      <c r="H18" s="15">
        <f>IF(F18="","",F18-N(G18))</f>
        <v/>
      </c>
      <c r="I18">
        <f>IF(OR(F18="",E18=""),"",MAX(0,Parametros!$B$1-E18))</f>
        <v/>
      </c>
      <c r="J18">
        <f>IF(OR(H18="",I18=""),"",IF(H18&lt;=0,"Pagada",IF(I18=0,"No vencida",IF(I18&lt;=30,"1-30",IF(I18&lt;=60,"31-60",IF(I18&lt;=90,"61-90",IF(I18&lt;=180,"91-180",IF(I18&lt;=360,"181-360","Más de 360"))))))))</f>
        <v/>
      </c>
      <c r="K18" s="14">
        <f>IF(OR(J18="",J18="Pagada"),"",VLOOKUP(J18,Parametros!$A$4:$B$10,2,FALSE))</f>
        <v/>
      </c>
      <c r="L18" s="15">
        <f>IF(K18="","",H18*K18)</f>
        <v/>
      </c>
    </row>
    <row r="19">
      <c r="A19" s="20" t="n"/>
      <c r="B19" s="20" t="n"/>
      <c r="C19" s="20" t="n"/>
      <c r="D19" s="16" t="n"/>
      <c r="E19" s="16" t="n"/>
      <c r="F19" s="21" t="n"/>
      <c r="G19" s="21" t="n"/>
      <c r="H19" s="15">
        <f>IF(F19="","",F19-N(G19))</f>
        <v/>
      </c>
      <c r="I19">
        <f>IF(OR(F19="",E19=""),"",MAX(0,Parametros!$B$1-E19))</f>
        <v/>
      </c>
      <c r="J19">
        <f>IF(OR(H19="",I19=""),"",IF(H19&lt;=0,"Pagada",IF(I19=0,"No vencida",IF(I19&lt;=30,"1-30",IF(I19&lt;=60,"31-60",IF(I19&lt;=90,"61-90",IF(I19&lt;=180,"91-180",IF(I19&lt;=360,"181-360","Más de 360"))))))))</f>
        <v/>
      </c>
      <c r="K19" s="14">
        <f>IF(OR(J19="",J19="Pagada"),"",VLOOKUP(J19,Parametros!$A$4:$B$10,2,FALSE))</f>
        <v/>
      </c>
      <c r="L19" s="15">
        <f>IF(K19="","",H19*K19)</f>
        <v/>
      </c>
    </row>
    <row r="20">
      <c r="A20" s="20" t="n"/>
      <c r="B20" s="20" t="n"/>
      <c r="C20" s="20" t="n"/>
      <c r="D20" s="16" t="n"/>
      <c r="E20" s="16" t="n"/>
      <c r="F20" s="21" t="n"/>
      <c r="G20" s="21" t="n"/>
      <c r="H20" s="15">
        <f>IF(F20="","",F20-N(G20))</f>
        <v/>
      </c>
      <c r="I20">
        <f>IF(OR(F20="",E20=""),"",MAX(0,Parametros!$B$1-E20))</f>
        <v/>
      </c>
      <c r="J20">
        <f>IF(OR(H20="",I20=""),"",IF(H20&lt;=0,"Pagada",IF(I20=0,"No vencida",IF(I20&lt;=30,"1-30",IF(I20&lt;=60,"31-60",IF(I20&lt;=90,"61-90",IF(I20&lt;=180,"91-180",IF(I20&lt;=360,"181-360","Más de 360"))))))))</f>
        <v/>
      </c>
      <c r="K20" s="14">
        <f>IF(OR(J20="",J20="Pagada"),"",VLOOKUP(J20,Parametros!$A$4:$B$10,2,FALSE))</f>
        <v/>
      </c>
      <c r="L20" s="15">
        <f>IF(K20="","",H20*K20)</f>
        <v/>
      </c>
    </row>
    <row r="21">
      <c r="A21" s="20" t="n"/>
      <c r="B21" s="20" t="n"/>
      <c r="C21" s="20" t="n"/>
      <c r="D21" s="16" t="n"/>
      <c r="E21" s="16" t="n"/>
      <c r="F21" s="21" t="n"/>
      <c r="G21" s="21" t="n"/>
      <c r="H21" s="15">
        <f>IF(F21="","",F21-N(G21))</f>
        <v/>
      </c>
      <c r="I21">
        <f>IF(OR(F21="",E21=""),"",MAX(0,Parametros!$B$1-E21))</f>
        <v/>
      </c>
      <c r="J21">
        <f>IF(OR(H21="",I21=""),"",IF(H21&lt;=0,"Pagada",IF(I21=0,"No vencida",IF(I21&lt;=30,"1-30",IF(I21&lt;=60,"31-60",IF(I21&lt;=90,"61-90",IF(I21&lt;=180,"91-180",IF(I21&lt;=360,"181-360","Más de 360"))))))))</f>
        <v/>
      </c>
      <c r="K21" s="14">
        <f>IF(OR(J21="",J21="Pagada"),"",VLOOKUP(J21,Parametros!$A$4:$B$10,2,FALSE))</f>
        <v/>
      </c>
      <c r="L21" s="15">
        <f>IF(K21="","",H21*K21)</f>
        <v/>
      </c>
    </row>
    <row r="22">
      <c r="A22" s="20" t="n"/>
      <c r="B22" s="20" t="n"/>
      <c r="C22" s="20" t="n"/>
      <c r="D22" s="16" t="n"/>
      <c r="E22" s="16" t="n"/>
      <c r="F22" s="21" t="n"/>
      <c r="G22" s="21" t="n"/>
      <c r="H22" s="15">
        <f>IF(F22="","",F22-N(G22))</f>
        <v/>
      </c>
      <c r="I22">
        <f>IF(OR(F22="",E22=""),"",MAX(0,Parametros!$B$1-E22))</f>
        <v/>
      </c>
      <c r="J22">
        <f>IF(OR(H22="",I22=""),"",IF(H22&lt;=0,"Pagada",IF(I22=0,"No vencida",IF(I22&lt;=30,"1-30",IF(I22&lt;=60,"31-60",IF(I22&lt;=90,"61-90",IF(I22&lt;=180,"91-180",IF(I22&lt;=360,"181-360","Más de 360"))))))))</f>
        <v/>
      </c>
      <c r="K22" s="14">
        <f>IF(OR(J22="",J22="Pagada"),"",VLOOKUP(J22,Parametros!$A$4:$B$10,2,FALSE))</f>
        <v/>
      </c>
      <c r="L22" s="15">
        <f>IF(K22="","",H22*K22)</f>
        <v/>
      </c>
    </row>
    <row r="23">
      <c r="A23" s="20" t="n"/>
      <c r="B23" s="20" t="n"/>
      <c r="C23" s="20" t="n"/>
      <c r="D23" s="16" t="n"/>
      <c r="E23" s="16" t="n"/>
      <c r="F23" s="21" t="n"/>
      <c r="G23" s="21" t="n"/>
      <c r="H23" s="15">
        <f>IF(F23="","",F23-N(G23))</f>
        <v/>
      </c>
      <c r="I23">
        <f>IF(OR(F23="",E23=""),"",MAX(0,Parametros!$B$1-E23))</f>
        <v/>
      </c>
      <c r="J23">
        <f>IF(OR(H23="",I23=""),"",IF(H23&lt;=0,"Pagada",IF(I23=0,"No vencida",IF(I23&lt;=30,"1-30",IF(I23&lt;=60,"31-60",IF(I23&lt;=90,"61-90",IF(I23&lt;=180,"91-180",IF(I23&lt;=360,"181-360","Más de 360"))))))))</f>
        <v/>
      </c>
      <c r="K23" s="14">
        <f>IF(OR(J23="",J23="Pagada"),"",VLOOKUP(J23,Parametros!$A$4:$B$10,2,FALSE))</f>
        <v/>
      </c>
      <c r="L23" s="15">
        <f>IF(K23="","",H23*K23)</f>
        <v/>
      </c>
    </row>
    <row r="24">
      <c r="A24" s="20" t="n"/>
      <c r="B24" s="20" t="n"/>
      <c r="C24" s="20" t="n"/>
      <c r="D24" s="16" t="n"/>
      <c r="E24" s="16" t="n"/>
      <c r="F24" s="21" t="n"/>
      <c r="G24" s="21" t="n"/>
      <c r="H24" s="15">
        <f>IF(F24="","",F24-N(G24))</f>
        <v/>
      </c>
      <c r="I24">
        <f>IF(OR(F24="",E24=""),"",MAX(0,Parametros!$B$1-E24))</f>
        <v/>
      </c>
      <c r="J24">
        <f>IF(OR(H24="",I24=""),"",IF(H24&lt;=0,"Pagada",IF(I24=0,"No vencida",IF(I24&lt;=30,"1-30",IF(I24&lt;=60,"31-60",IF(I24&lt;=90,"61-90",IF(I24&lt;=180,"91-180",IF(I24&lt;=360,"181-360","Más de 360"))))))))</f>
        <v/>
      </c>
      <c r="K24" s="14">
        <f>IF(OR(J24="",J24="Pagada"),"",VLOOKUP(J24,Parametros!$A$4:$B$10,2,FALSE))</f>
        <v/>
      </c>
      <c r="L24" s="15">
        <f>IF(K24="","",H24*K24)</f>
        <v/>
      </c>
    </row>
    <row r="25">
      <c r="A25" s="20" t="n"/>
      <c r="B25" s="20" t="n"/>
      <c r="C25" s="20" t="n"/>
      <c r="D25" s="16" t="n"/>
      <c r="E25" s="16" t="n"/>
      <c r="F25" s="21" t="n"/>
      <c r="G25" s="21" t="n"/>
      <c r="H25" s="15">
        <f>IF(F25="","",F25-N(G25))</f>
        <v/>
      </c>
      <c r="I25">
        <f>IF(OR(F25="",E25=""),"",MAX(0,Parametros!$B$1-E25))</f>
        <v/>
      </c>
      <c r="J25">
        <f>IF(OR(H25="",I25=""),"",IF(H25&lt;=0,"Pagada",IF(I25=0,"No vencida",IF(I25&lt;=30,"1-30",IF(I25&lt;=60,"31-60",IF(I25&lt;=90,"61-90",IF(I25&lt;=180,"91-180",IF(I25&lt;=360,"181-360","Más de 360"))))))))</f>
        <v/>
      </c>
      <c r="K25" s="14">
        <f>IF(OR(J25="",J25="Pagada"),"",VLOOKUP(J25,Parametros!$A$4:$B$10,2,FALSE))</f>
        <v/>
      </c>
      <c r="L25" s="15">
        <f>IF(K25="","",H25*K25)</f>
        <v/>
      </c>
    </row>
    <row r="26">
      <c r="A26" s="20" t="n"/>
      <c r="B26" s="20" t="n"/>
      <c r="C26" s="20" t="n"/>
      <c r="D26" s="16" t="n"/>
      <c r="E26" s="16" t="n"/>
      <c r="F26" s="21" t="n"/>
      <c r="G26" s="21" t="n"/>
      <c r="H26" s="15">
        <f>IF(F26="","",F26-N(G26))</f>
        <v/>
      </c>
      <c r="I26">
        <f>IF(OR(F26="",E26=""),"",MAX(0,Parametros!$B$1-E26))</f>
        <v/>
      </c>
      <c r="J26">
        <f>IF(OR(H26="",I26=""),"",IF(H26&lt;=0,"Pagada",IF(I26=0,"No vencida",IF(I26&lt;=30,"1-30",IF(I26&lt;=60,"31-60",IF(I26&lt;=90,"61-90",IF(I26&lt;=180,"91-180",IF(I26&lt;=360,"181-360","Más de 360"))))))))</f>
        <v/>
      </c>
      <c r="K26" s="14">
        <f>IF(OR(J26="",J26="Pagada"),"",VLOOKUP(J26,Parametros!$A$4:$B$10,2,FALSE))</f>
        <v/>
      </c>
      <c r="L26" s="15">
        <f>IF(K26="","",H26*K26)</f>
        <v/>
      </c>
    </row>
    <row r="27">
      <c r="A27" s="20" t="n"/>
      <c r="B27" s="20" t="n"/>
      <c r="C27" s="20" t="n"/>
      <c r="D27" s="16" t="n"/>
      <c r="E27" s="16" t="n"/>
      <c r="F27" s="21" t="n"/>
      <c r="G27" s="21" t="n"/>
      <c r="H27" s="15">
        <f>IF(F27="","",F27-N(G27))</f>
        <v/>
      </c>
      <c r="I27">
        <f>IF(OR(F27="",E27=""),"",MAX(0,Parametros!$B$1-E27))</f>
        <v/>
      </c>
      <c r="J27">
        <f>IF(OR(H27="",I27=""),"",IF(H27&lt;=0,"Pagada",IF(I27=0,"No vencida",IF(I27&lt;=30,"1-30",IF(I27&lt;=60,"31-60",IF(I27&lt;=90,"61-90",IF(I27&lt;=180,"91-180",IF(I27&lt;=360,"181-360","Más de 360"))))))))</f>
        <v/>
      </c>
      <c r="K27" s="14">
        <f>IF(OR(J27="",J27="Pagada"),"",VLOOKUP(J27,Parametros!$A$4:$B$10,2,FALSE))</f>
        <v/>
      </c>
      <c r="L27" s="15">
        <f>IF(K27="","",H27*K27)</f>
        <v/>
      </c>
    </row>
    <row r="28">
      <c r="A28" s="20" t="n"/>
      <c r="B28" s="20" t="n"/>
      <c r="C28" s="20" t="n"/>
      <c r="D28" s="16" t="n"/>
      <c r="E28" s="16" t="n"/>
      <c r="F28" s="21" t="n"/>
      <c r="G28" s="21" t="n"/>
      <c r="H28" s="15">
        <f>IF(F28="","",F28-N(G28))</f>
        <v/>
      </c>
      <c r="I28">
        <f>IF(OR(F28="",E28=""),"",MAX(0,Parametros!$B$1-E28))</f>
        <v/>
      </c>
      <c r="J28">
        <f>IF(OR(H28="",I28=""),"",IF(H28&lt;=0,"Pagada",IF(I28=0,"No vencida",IF(I28&lt;=30,"1-30",IF(I28&lt;=60,"31-60",IF(I28&lt;=90,"61-90",IF(I28&lt;=180,"91-180",IF(I28&lt;=360,"181-360","Más de 360"))))))))</f>
        <v/>
      </c>
      <c r="K28" s="14">
        <f>IF(OR(J28="",J28="Pagada"),"",VLOOKUP(J28,Parametros!$A$4:$B$10,2,FALSE))</f>
        <v/>
      </c>
      <c r="L28" s="15">
        <f>IF(K28="","",H28*K28)</f>
        <v/>
      </c>
    </row>
    <row r="29">
      <c r="A29" s="20" t="n"/>
      <c r="B29" s="20" t="n"/>
      <c r="C29" s="20" t="n"/>
      <c r="D29" s="16" t="n"/>
      <c r="E29" s="16" t="n"/>
      <c r="F29" s="21" t="n"/>
      <c r="G29" s="21" t="n"/>
      <c r="H29" s="15">
        <f>IF(F29="","",F29-N(G29))</f>
        <v/>
      </c>
      <c r="I29">
        <f>IF(OR(F29="",E29=""),"",MAX(0,Parametros!$B$1-E29))</f>
        <v/>
      </c>
      <c r="J29">
        <f>IF(OR(H29="",I29=""),"",IF(H29&lt;=0,"Pagada",IF(I29=0,"No vencida",IF(I29&lt;=30,"1-30",IF(I29&lt;=60,"31-60",IF(I29&lt;=90,"61-90",IF(I29&lt;=180,"91-180",IF(I29&lt;=360,"181-360","Más de 360"))))))))</f>
        <v/>
      </c>
      <c r="K29" s="14">
        <f>IF(OR(J29="",J29="Pagada"),"",VLOOKUP(J29,Parametros!$A$4:$B$10,2,FALSE))</f>
        <v/>
      </c>
      <c r="L29" s="15">
        <f>IF(K29="","",H29*K29)</f>
        <v/>
      </c>
    </row>
    <row r="30">
      <c r="A30" s="20" t="n"/>
      <c r="B30" s="20" t="n"/>
      <c r="C30" s="20" t="n"/>
      <c r="D30" s="16" t="n"/>
      <c r="E30" s="16" t="n"/>
      <c r="F30" s="21" t="n"/>
      <c r="G30" s="21" t="n"/>
      <c r="H30" s="15">
        <f>IF(F30="","",F30-N(G30))</f>
        <v/>
      </c>
      <c r="I30">
        <f>IF(OR(F30="",E30=""),"",MAX(0,Parametros!$B$1-E30))</f>
        <v/>
      </c>
      <c r="J30">
        <f>IF(OR(H30="",I30=""),"",IF(H30&lt;=0,"Pagada",IF(I30=0,"No vencida",IF(I30&lt;=30,"1-30",IF(I30&lt;=60,"31-60",IF(I30&lt;=90,"61-90",IF(I30&lt;=180,"91-180",IF(I30&lt;=360,"181-360","Más de 360"))))))))</f>
        <v/>
      </c>
      <c r="K30" s="14">
        <f>IF(OR(J30="",J30="Pagada"),"",VLOOKUP(J30,Parametros!$A$4:$B$10,2,FALSE))</f>
        <v/>
      </c>
      <c r="L30" s="15">
        <f>IF(K30="","",H30*K30)</f>
        <v/>
      </c>
    </row>
    <row r="31">
      <c r="A31" s="20" t="n"/>
      <c r="B31" s="20" t="n"/>
      <c r="C31" s="20" t="n"/>
      <c r="D31" s="16" t="n"/>
      <c r="E31" s="16" t="n"/>
      <c r="F31" s="21" t="n"/>
      <c r="G31" s="21" t="n"/>
      <c r="H31" s="15">
        <f>IF(F31="","",F31-N(G31))</f>
        <v/>
      </c>
      <c r="I31">
        <f>IF(OR(F31="",E31=""),"",MAX(0,Parametros!$B$1-E31))</f>
        <v/>
      </c>
      <c r="J31">
        <f>IF(OR(H31="",I31=""),"",IF(H31&lt;=0,"Pagada",IF(I31=0,"No vencida",IF(I31&lt;=30,"1-30",IF(I31&lt;=60,"31-60",IF(I31&lt;=90,"61-90",IF(I31&lt;=180,"91-180",IF(I31&lt;=360,"181-360","Más de 360"))))))))</f>
        <v/>
      </c>
      <c r="K31" s="14">
        <f>IF(OR(J31="",J31="Pagada"),"",VLOOKUP(J31,Parametros!$A$4:$B$10,2,FALSE))</f>
        <v/>
      </c>
      <c r="L31" s="15">
        <f>IF(K31="","",H31*K31)</f>
        <v/>
      </c>
    </row>
    <row r="32">
      <c r="A32" s="20" t="n"/>
      <c r="B32" s="20" t="n"/>
      <c r="C32" s="20" t="n"/>
      <c r="D32" s="16" t="n"/>
      <c r="E32" s="16" t="n"/>
      <c r="F32" s="21" t="n"/>
      <c r="G32" s="21" t="n"/>
      <c r="H32" s="15">
        <f>IF(F32="","",F32-N(G32))</f>
        <v/>
      </c>
      <c r="I32">
        <f>IF(OR(F32="",E32=""),"",MAX(0,Parametros!$B$1-E32))</f>
        <v/>
      </c>
      <c r="J32">
        <f>IF(OR(H32="",I32=""),"",IF(H32&lt;=0,"Pagada",IF(I32=0,"No vencida",IF(I32&lt;=30,"1-30",IF(I32&lt;=60,"31-60",IF(I32&lt;=90,"61-90",IF(I32&lt;=180,"91-180",IF(I32&lt;=360,"181-360","Más de 360"))))))))</f>
        <v/>
      </c>
      <c r="K32" s="14">
        <f>IF(OR(J32="",J32="Pagada"),"",VLOOKUP(J32,Parametros!$A$4:$B$10,2,FALSE))</f>
        <v/>
      </c>
      <c r="L32" s="15">
        <f>IF(K32="","",H32*K32)</f>
        <v/>
      </c>
    </row>
    <row r="33">
      <c r="A33" s="20" t="n"/>
      <c r="B33" s="20" t="n"/>
      <c r="C33" s="20" t="n"/>
      <c r="D33" s="16" t="n"/>
      <c r="E33" s="16" t="n"/>
      <c r="F33" s="21" t="n"/>
      <c r="G33" s="21" t="n"/>
      <c r="H33" s="15">
        <f>IF(F33="","",F33-N(G33))</f>
        <v/>
      </c>
      <c r="I33">
        <f>IF(OR(F33="",E33=""),"",MAX(0,Parametros!$B$1-E33))</f>
        <v/>
      </c>
      <c r="J33">
        <f>IF(OR(H33="",I33=""),"",IF(H33&lt;=0,"Pagada",IF(I33=0,"No vencida",IF(I33&lt;=30,"1-30",IF(I33&lt;=60,"31-60",IF(I33&lt;=90,"61-90",IF(I33&lt;=180,"91-180",IF(I33&lt;=360,"181-360","Más de 360"))))))))</f>
        <v/>
      </c>
      <c r="K33" s="14">
        <f>IF(OR(J33="",J33="Pagada"),"",VLOOKUP(J33,Parametros!$A$4:$B$10,2,FALSE))</f>
        <v/>
      </c>
      <c r="L33" s="15">
        <f>IF(K33="","",H33*K33)</f>
        <v/>
      </c>
    </row>
    <row r="34">
      <c r="A34" s="20" t="n"/>
      <c r="B34" s="20" t="n"/>
      <c r="C34" s="20" t="n"/>
      <c r="D34" s="16" t="n"/>
      <c r="E34" s="16" t="n"/>
      <c r="F34" s="21" t="n"/>
      <c r="G34" s="21" t="n"/>
      <c r="H34" s="15">
        <f>IF(F34="","",F34-N(G34))</f>
        <v/>
      </c>
      <c r="I34">
        <f>IF(OR(F34="",E34=""),"",MAX(0,Parametros!$B$1-E34))</f>
        <v/>
      </c>
      <c r="J34">
        <f>IF(OR(H34="",I34=""),"",IF(H34&lt;=0,"Pagada",IF(I34=0,"No vencida",IF(I34&lt;=30,"1-30",IF(I34&lt;=60,"31-60",IF(I34&lt;=90,"61-90",IF(I34&lt;=180,"91-180",IF(I34&lt;=360,"181-360","Más de 360"))))))))</f>
        <v/>
      </c>
      <c r="K34" s="14">
        <f>IF(OR(J34="",J34="Pagada"),"",VLOOKUP(J34,Parametros!$A$4:$B$10,2,FALSE))</f>
        <v/>
      </c>
      <c r="L34" s="15">
        <f>IF(K34="","",H34*K34)</f>
        <v/>
      </c>
    </row>
    <row r="35">
      <c r="A35" s="20" t="n"/>
      <c r="B35" s="20" t="n"/>
      <c r="C35" s="20" t="n"/>
      <c r="D35" s="16" t="n"/>
      <c r="E35" s="16" t="n"/>
      <c r="F35" s="21" t="n"/>
      <c r="G35" s="21" t="n"/>
      <c r="H35" s="15">
        <f>IF(F35="","",F35-N(G35))</f>
        <v/>
      </c>
      <c r="I35">
        <f>IF(OR(F35="",E35=""),"",MAX(0,Parametros!$B$1-E35))</f>
        <v/>
      </c>
      <c r="J35">
        <f>IF(OR(H35="",I35=""),"",IF(H35&lt;=0,"Pagada",IF(I35=0,"No vencida",IF(I35&lt;=30,"1-30",IF(I35&lt;=60,"31-60",IF(I35&lt;=90,"61-90",IF(I35&lt;=180,"91-180",IF(I35&lt;=360,"181-360","Más de 360"))))))))</f>
        <v/>
      </c>
      <c r="K35" s="14">
        <f>IF(OR(J35="",J35="Pagada"),"",VLOOKUP(J35,Parametros!$A$4:$B$10,2,FALSE))</f>
        <v/>
      </c>
      <c r="L35" s="15">
        <f>IF(K35="","",H35*K35)</f>
        <v/>
      </c>
    </row>
    <row r="36">
      <c r="A36" s="20" t="n"/>
      <c r="B36" s="20" t="n"/>
      <c r="C36" s="20" t="n"/>
      <c r="D36" s="16" t="n"/>
      <c r="E36" s="16" t="n"/>
      <c r="F36" s="21" t="n"/>
      <c r="G36" s="21" t="n"/>
      <c r="H36" s="15">
        <f>IF(F36="","",F36-N(G36))</f>
        <v/>
      </c>
      <c r="I36">
        <f>IF(OR(F36="",E36=""),"",MAX(0,Parametros!$B$1-E36))</f>
        <v/>
      </c>
      <c r="J36">
        <f>IF(OR(H36="",I36=""),"",IF(H36&lt;=0,"Pagada",IF(I36=0,"No vencida",IF(I36&lt;=30,"1-30",IF(I36&lt;=60,"31-60",IF(I36&lt;=90,"61-90",IF(I36&lt;=180,"91-180",IF(I36&lt;=360,"181-360","Más de 360"))))))))</f>
        <v/>
      </c>
      <c r="K36" s="14">
        <f>IF(OR(J36="",J36="Pagada"),"",VLOOKUP(J36,Parametros!$A$4:$B$10,2,FALSE))</f>
        <v/>
      </c>
      <c r="L36" s="15">
        <f>IF(K36="","",H36*K36)</f>
        <v/>
      </c>
    </row>
    <row r="37">
      <c r="A37" s="20" t="n"/>
      <c r="B37" s="20" t="n"/>
      <c r="C37" s="20" t="n"/>
      <c r="D37" s="16" t="n"/>
      <c r="E37" s="16" t="n"/>
      <c r="F37" s="21" t="n"/>
      <c r="G37" s="21" t="n"/>
      <c r="H37" s="15">
        <f>IF(F37="","",F37-N(G37))</f>
        <v/>
      </c>
      <c r="I37">
        <f>IF(OR(F37="",E37=""),"",MAX(0,Parametros!$B$1-E37))</f>
        <v/>
      </c>
      <c r="J37">
        <f>IF(OR(H37="",I37=""),"",IF(H37&lt;=0,"Pagada",IF(I37=0,"No vencida",IF(I37&lt;=30,"1-30",IF(I37&lt;=60,"31-60",IF(I37&lt;=90,"61-90",IF(I37&lt;=180,"91-180",IF(I37&lt;=360,"181-360","Más de 360"))))))))</f>
        <v/>
      </c>
      <c r="K37" s="14">
        <f>IF(OR(J37="",J37="Pagada"),"",VLOOKUP(J37,Parametros!$A$4:$B$10,2,FALSE))</f>
        <v/>
      </c>
      <c r="L37" s="15">
        <f>IF(K37="","",H37*K37)</f>
        <v/>
      </c>
    </row>
    <row r="38">
      <c r="A38" s="20" t="n"/>
      <c r="B38" s="20" t="n"/>
      <c r="C38" s="20" t="n"/>
      <c r="D38" s="16" t="n"/>
      <c r="E38" s="16" t="n"/>
      <c r="F38" s="21" t="n"/>
      <c r="G38" s="21" t="n"/>
      <c r="H38" s="15">
        <f>IF(F38="","",F38-N(G38))</f>
        <v/>
      </c>
      <c r="I38">
        <f>IF(OR(F38="",E38=""),"",MAX(0,Parametros!$B$1-E38))</f>
        <v/>
      </c>
      <c r="J38">
        <f>IF(OR(H38="",I38=""),"",IF(H38&lt;=0,"Pagada",IF(I38=0,"No vencida",IF(I38&lt;=30,"1-30",IF(I38&lt;=60,"31-60",IF(I38&lt;=90,"61-90",IF(I38&lt;=180,"91-180",IF(I38&lt;=360,"181-360","Más de 360"))))))))</f>
        <v/>
      </c>
      <c r="K38" s="14">
        <f>IF(OR(J38="",J38="Pagada"),"",VLOOKUP(J38,Parametros!$A$4:$B$10,2,FALSE))</f>
        <v/>
      </c>
      <c r="L38" s="15">
        <f>IF(K38="","",H38*K38)</f>
        <v/>
      </c>
    </row>
    <row r="39">
      <c r="A39" s="20" t="n"/>
      <c r="B39" s="20" t="n"/>
      <c r="C39" s="20" t="n"/>
      <c r="D39" s="16" t="n"/>
      <c r="E39" s="16" t="n"/>
      <c r="F39" s="21" t="n"/>
      <c r="G39" s="21" t="n"/>
      <c r="H39" s="15">
        <f>IF(F39="","",F39-N(G39))</f>
        <v/>
      </c>
      <c r="I39">
        <f>IF(OR(F39="",E39=""),"",MAX(0,Parametros!$B$1-E39))</f>
        <v/>
      </c>
      <c r="J39">
        <f>IF(OR(H39="",I39=""),"",IF(H39&lt;=0,"Pagada",IF(I39=0,"No vencida",IF(I39&lt;=30,"1-30",IF(I39&lt;=60,"31-60",IF(I39&lt;=90,"61-90",IF(I39&lt;=180,"91-180",IF(I39&lt;=360,"181-360","Más de 360"))))))))</f>
        <v/>
      </c>
      <c r="K39" s="14">
        <f>IF(OR(J39="",J39="Pagada"),"",VLOOKUP(J39,Parametros!$A$4:$B$10,2,FALSE))</f>
        <v/>
      </c>
      <c r="L39" s="15">
        <f>IF(K39="","",H39*K39)</f>
        <v/>
      </c>
    </row>
    <row r="40">
      <c r="A40" s="20" t="n"/>
      <c r="B40" s="20" t="n"/>
      <c r="C40" s="20" t="n"/>
      <c r="D40" s="16" t="n"/>
      <c r="E40" s="16" t="n"/>
      <c r="F40" s="21" t="n"/>
      <c r="G40" s="21" t="n"/>
      <c r="H40" s="15">
        <f>IF(F40="","",F40-N(G40))</f>
        <v/>
      </c>
      <c r="I40">
        <f>IF(OR(F40="",E40=""),"",MAX(0,Parametros!$B$1-E40))</f>
        <v/>
      </c>
      <c r="J40">
        <f>IF(OR(H40="",I40=""),"",IF(H40&lt;=0,"Pagada",IF(I40=0,"No vencida",IF(I40&lt;=30,"1-30",IF(I40&lt;=60,"31-60",IF(I40&lt;=90,"61-90",IF(I40&lt;=180,"91-180",IF(I40&lt;=360,"181-360","Más de 360"))))))))</f>
        <v/>
      </c>
      <c r="K40" s="14">
        <f>IF(OR(J40="",J40="Pagada"),"",VLOOKUP(J40,Parametros!$A$4:$B$10,2,FALSE))</f>
        <v/>
      </c>
      <c r="L40" s="15">
        <f>IF(K40="","",H40*K40)</f>
        <v/>
      </c>
    </row>
    <row r="41">
      <c r="A41" s="20" t="n"/>
      <c r="B41" s="20" t="n"/>
      <c r="C41" s="20" t="n"/>
      <c r="D41" s="16" t="n"/>
      <c r="E41" s="16" t="n"/>
      <c r="F41" s="21" t="n"/>
      <c r="G41" s="21" t="n"/>
      <c r="H41" s="15">
        <f>IF(F41="","",F41-N(G41))</f>
        <v/>
      </c>
      <c r="I41">
        <f>IF(OR(F41="",E41=""),"",MAX(0,Parametros!$B$1-E41))</f>
        <v/>
      </c>
      <c r="J41">
        <f>IF(OR(H41="",I41=""),"",IF(H41&lt;=0,"Pagada",IF(I41=0,"No vencida",IF(I41&lt;=30,"1-30",IF(I41&lt;=60,"31-60",IF(I41&lt;=90,"61-90",IF(I41&lt;=180,"91-180",IF(I41&lt;=360,"181-360","Más de 360"))))))))</f>
        <v/>
      </c>
      <c r="K41" s="14">
        <f>IF(OR(J41="",J41="Pagada"),"",VLOOKUP(J41,Parametros!$A$4:$B$10,2,FALSE))</f>
        <v/>
      </c>
      <c r="L41" s="15">
        <f>IF(K41="","",H41*K41)</f>
        <v/>
      </c>
    </row>
    <row r="42">
      <c r="A42" s="20" t="n"/>
      <c r="B42" s="20" t="n"/>
      <c r="C42" s="20" t="n"/>
      <c r="D42" s="16" t="n"/>
      <c r="E42" s="16" t="n"/>
      <c r="F42" s="21" t="n"/>
      <c r="G42" s="21" t="n"/>
      <c r="H42" s="15">
        <f>IF(F42="","",F42-N(G42))</f>
        <v/>
      </c>
      <c r="I42">
        <f>IF(OR(F42="",E42=""),"",MAX(0,Parametros!$B$1-E42))</f>
        <v/>
      </c>
      <c r="J42">
        <f>IF(OR(H42="",I42=""),"",IF(H42&lt;=0,"Pagada",IF(I42=0,"No vencida",IF(I42&lt;=30,"1-30",IF(I42&lt;=60,"31-60",IF(I42&lt;=90,"61-90",IF(I42&lt;=180,"91-180",IF(I42&lt;=360,"181-360","Más de 360"))))))))</f>
        <v/>
      </c>
      <c r="K42" s="14">
        <f>IF(OR(J42="",J42="Pagada"),"",VLOOKUP(J42,Parametros!$A$4:$B$10,2,FALSE))</f>
        <v/>
      </c>
      <c r="L42" s="15">
        <f>IF(K42="","",H42*K42)</f>
        <v/>
      </c>
    </row>
    <row r="43">
      <c r="A43" s="20" t="n"/>
      <c r="B43" s="20" t="n"/>
      <c r="C43" s="20" t="n"/>
      <c r="D43" s="16" t="n"/>
      <c r="E43" s="16" t="n"/>
      <c r="F43" s="21" t="n"/>
      <c r="G43" s="21" t="n"/>
      <c r="H43" s="15">
        <f>IF(F43="","",F43-N(G43))</f>
        <v/>
      </c>
      <c r="I43">
        <f>IF(OR(F43="",E43=""),"",MAX(0,Parametros!$B$1-E43))</f>
        <v/>
      </c>
      <c r="J43">
        <f>IF(OR(H43="",I43=""),"",IF(H43&lt;=0,"Pagada",IF(I43=0,"No vencida",IF(I43&lt;=30,"1-30",IF(I43&lt;=60,"31-60",IF(I43&lt;=90,"61-90",IF(I43&lt;=180,"91-180",IF(I43&lt;=360,"181-360","Más de 360"))))))))</f>
        <v/>
      </c>
      <c r="K43" s="14">
        <f>IF(OR(J43="",J43="Pagada"),"",VLOOKUP(J43,Parametros!$A$4:$B$10,2,FALSE))</f>
        <v/>
      </c>
      <c r="L43" s="15">
        <f>IF(K43="","",H43*K43)</f>
        <v/>
      </c>
    </row>
    <row r="44">
      <c r="A44" s="20" t="n"/>
      <c r="B44" s="20" t="n"/>
      <c r="C44" s="20" t="n"/>
      <c r="D44" s="16" t="n"/>
      <c r="E44" s="16" t="n"/>
      <c r="F44" s="21" t="n"/>
      <c r="G44" s="21" t="n"/>
      <c r="H44" s="15">
        <f>IF(F44="","",F44-N(G44))</f>
        <v/>
      </c>
      <c r="I44">
        <f>IF(OR(F44="",E44=""),"",MAX(0,Parametros!$B$1-E44))</f>
        <v/>
      </c>
      <c r="J44">
        <f>IF(OR(H44="",I44=""),"",IF(H44&lt;=0,"Pagada",IF(I44=0,"No vencida",IF(I44&lt;=30,"1-30",IF(I44&lt;=60,"31-60",IF(I44&lt;=90,"61-90",IF(I44&lt;=180,"91-180",IF(I44&lt;=360,"181-360","Más de 360"))))))))</f>
        <v/>
      </c>
      <c r="K44" s="14">
        <f>IF(OR(J44="",J44="Pagada"),"",VLOOKUP(J44,Parametros!$A$4:$B$10,2,FALSE))</f>
        <v/>
      </c>
      <c r="L44" s="15">
        <f>IF(K44="","",H44*K44)</f>
        <v/>
      </c>
    </row>
    <row r="45">
      <c r="A45" s="20" t="n"/>
      <c r="B45" s="20" t="n"/>
      <c r="C45" s="20" t="n"/>
      <c r="D45" s="16" t="n"/>
      <c r="E45" s="16" t="n"/>
      <c r="F45" s="21" t="n"/>
      <c r="G45" s="21" t="n"/>
      <c r="H45" s="15">
        <f>IF(F45="","",F45-N(G45))</f>
        <v/>
      </c>
      <c r="I45">
        <f>IF(OR(F45="",E45=""),"",MAX(0,Parametros!$B$1-E45))</f>
        <v/>
      </c>
      <c r="J45">
        <f>IF(OR(H45="",I45=""),"",IF(H45&lt;=0,"Pagada",IF(I45=0,"No vencida",IF(I45&lt;=30,"1-30",IF(I45&lt;=60,"31-60",IF(I45&lt;=90,"61-90",IF(I45&lt;=180,"91-180",IF(I45&lt;=360,"181-360","Más de 360"))))))))</f>
        <v/>
      </c>
      <c r="K45" s="14">
        <f>IF(OR(J45="",J45="Pagada"),"",VLOOKUP(J45,Parametros!$A$4:$B$10,2,FALSE))</f>
        <v/>
      </c>
      <c r="L45" s="15">
        <f>IF(K45="","",H45*K45)</f>
        <v/>
      </c>
    </row>
    <row r="46">
      <c r="A46" s="20" t="n"/>
      <c r="B46" s="20" t="n"/>
      <c r="C46" s="20" t="n"/>
      <c r="D46" s="16" t="n"/>
      <c r="E46" s="16" t="n"/>
      <c r="F46" s="21" t="n"/>
      <c r="G46" s="21" t="n"/>
      <c r="H46" s="15">
        <f>IF(F46="","",F46-N(G46))</f>
        <v/>
      </c>
      <c r="I46">
        <f>IF(OR(F46="",E46=""),"",MAX(0,Parametros!$B$1-E46))</f>
        <v/>
      </c>
      <c r="J46">
        <f>IF(OR(H46="",I46=""),"",IF(H46&lt;=0,"Pagada",IF(I46=0,"No vencida",IF(I46&lt;=30,"1-30",IF(I46&lt;=60,"31-60",IF(I46&lt;=90,"61-90",IF(I46&lt;=180,"91-180",IF(I46&lt;=360,"181-360","Más de 360"))))))))</f>
        <v/>
      </c>
      <c r="K46" s="14">
        <f>IF(OR(J46="",J46="Pagada"),"",VLOOKUP(J46,Parametros!$A$4:$B$10,2,FALSE))</f>
        <v/>
      </c>
      <c r="L46" s="15">
        <f>IF(K46="","",H46*K46)</f>
        <v/>
      </c>
    </row>
    <row r="47">
      <c r="A47" s="20" t="n"/>
      <c r="B47" s="20" t="n"/>
      <c r="C47" s="20" t="n"/>
      <c r="D47" s="16" t="n"/>
      <c r="E47" s="16" t="n"/>
      <c r="F47" s="21" t="n"/>
      <c r="G47" s="21" t="n"/>
      <c r="H47" s="15">
        <f>IF(F47="","",F47-N(G47))</f>
        <v/>
      </c>
      <c r="I47">
        <f>IF(OR(F47="",E47=""),"",MAX(0,Parametros!$B$1-E47))</f>
        <v/>
      </c>
      <c r="J47">
        <f>IF(OR(H47="",I47=""),"",IF(H47&lt;=0,"Pagada",IF(I47=0,"No vencida",IF(I47&lt;=30,"1-30",IF(I47&lt;=60,"31-60",IF(I47&lt;=90,"61-90",IF(I47&lt;=180,"91-180",IF(I47&lt;=360,"181-360","Más de 360"))))))))</f>
        <v/>
      </c>
      <c r="K47" s="14">
        <f>IF(OR(J47="",J47="Pagada"),"",VLOOKUP(J47,Parametros!$A$4:$B$10,2,FALSE))</f>
        <v/>
      </c>
      <c r="L47" s="15">
        <f>IF(K47="","",H47*K47)</f>
        <v/>
      </c>
    </row>
    <row r="48">
      <c r="A48" s="20" t="n"/>
      <c r="B48" s="20" t="n"/>
      <c r="C48" s="20" t="n"/>
      <c r="D48" s="16" t="n"/>
      <c r="E48" s="16" t="n"/>
      <c r="F48" s="21" t="n"/>
      <c r="G48" s="21" t="n"/>
      <c r="H48" s="15">
        <f>IF(F48="","",F48-N(G48))</f>
        <v/>
      </c>
      <c r="I48">
        <f>IF(OR(F48="",E48=""),"",MAX(0,Parametros!$B$1-E48))</f>
        <v/>
      </c>
      <c r="J48">
        <f>IF(OR(H48="",I48=""),"",IF(H48&lt;=0,"Pagada",IF(I48=0,"No vencida",IF(I48&lt;=30,"1-30",IF(I48&lt;=60,"31-60",IF(I48&lt;=90,"61-90",IF(I48&lt;=180,"91-180",IF(I48&lt;=360,"181-360","Más de 360"))))))))</f>
        <v/>
      </c>
      <c r="K48" s="14">
        <f>IF(OR(J48="",J48="Pagada"),"",VLOOKUP(J48,Parametros!$A$4:$B$10,2,FALSE))</f>
        <v/>
      </c>
      <c r="L48" s="15">
        <f>IF(K48="","",H48*K48)</f>
        <v/>
      </c>
    </row>
    <row r="49">
      <c r="A49" s="20" t="n"/>
      <c r="B49" s="20" t="n"/>
      <c r="C49" s="20" t="n"/>
      <c r="D49" s="16" t="n"/>
      <c r="E49" s="16" t="n"/>
      <c r="F49" s="21" t="n"/>
      <c r="G49" s="21" t="n"/>
      <c r="H49" s="15">
        <f>IF(F49="","",F49-N(G49))</f>
        <v/>
      </c>
      <c r="I49">
        <f>IF(OR(F49="",E49=""),"",MAX(0,Parametros!$B$1-E49))</f>
        <v/>
      </c>
      <c r="J49">
        <f>IF(OR(H49="",I49=""),"",IF(H49&lt;=0,"Pagada",IF(I49=0,"No vencida",IF(I49&lt;=30,"1-30",IF(I49&lt;=60,"31-60",IF(I49&lt;=90,"61-90",IF(I49&lt;=180,"91-180",IF(I49&lt;=360,"181-360","Más de 360"))))))))</f>
        <v/>
      </c>
      <c r="K49" s="14">
        <f>IF(OR(J49="",J49="Pagada"),"",VLOOKUP(J49,Parametros!$A$4:$B$10,2,FALSE))</f>
        <v/>
      </c>
      <c r="L49" s="15">
        <f>IF(K49="","",H49*K49)</f>
        <v/>
      </c>
    </row>
    <row r="50">
      <c r="A50" s="20" t="n"/>
      <c r="B50" s="20" t="n"/>
      <c r="C50" s="20" t="n"/>
      <c r="D50" s="16" t="n"/>
      <c r="E50" s="16" t="n"/>
      <c r="F50" s="21" t="n"/>
      <c r="G50" s="21" t="n"/>
      <c r="H50" s="15">
        <f>IF(F50="","",F50-N(G50))</f>
        <v/>
      </c>
      <c r="I50">
        <f>IF(OR(F50="",E50=""),"",MAX(0,Parametros!$B$1-E50))</f>
        <v/>
      </c>
      <c r="J50">
        <f>IF(OR(H50="",I50=""),"",IF(H50&lt;=0,"Pagada",IF(I50=0,"No vencida",IF(I50&lt;=30,"1-30",IF(I50&lt;=60,"31-60",IF(I50&lt;=90,"61-90",IF(I50&lt;=180,"91-180",IF(I50&lt;=360,"181-360","Más de 360"))))))))</f>
        <v/>
      </c>
      <c r="K50" s="14">
        <f>IF(OR(J50="",J50="Pagada"),"",VLOOKUP(J50,Parametros!$A$4:$B$10,2,FALSE))</f>
        <v/>
      </c>
      <c r="L50" s="15">
        <f>IF(K50="","",H50*K50)</f>
        <v/>
      </c>
    </row>
    <row r="51">
      <c r="A51" s="20" t="n"/>
      <c r="B51" s="20" t="n"/>
      <c r="C51" s="20" t="n"/>
      <c r="D51" s="16" t="n"/>
      <c r="E51" s="16" t="n"/>
      <c r="F51" s="21" t="n"/>
      <c r="G51" s="21" t="n"/>
      <c r="H51" s="15">
        <f>IF(F51="","",F51-N(G51))</f>
        <v/>
      </c>
      <c r="I51">
        <f>IF(OR(F51="",E51=""),"",MAX(0,Parametros!$B$1-E51))</f>
        <v/>
      </c>
      <c r="J51">
        <f>IF(OR(H51="",I51=""),"",IF(H51&lt;=0,"Pagada",IF(I51=0,"No vencida",IF(I51&lt;=30,"1-30",IF(I51&lt;=60,"31-60",IF(I51&lt;=90,"61-90",IF(I51&lt;=180,"91-180",IF(I51&lt;=360,"181-360","Más de 360"))))))))</f>
        <v/>
      </c>
      <c r="K51" s="14">
        <f>IF(OR(J51="",J51="Pagada"),"",VLOOKUP(J51,Parametros!$A$4:$B$10,2,FALSE))</f>
        <v/>
      </c>
      <c r="L51" s="15">
        <f>IF(K51="","",H51*K51)</f>
        <v/>
      </c>
    </row>
    <row r="52">
      <c r="A52" s="20" t="n"/>
      <c r="B52" s="20" t="n"/>
      <c r="C52" s="20" t="n"/>
      <c r="D52" s="16" t="n"/>
      <c r="E52" s="16" t="n"/>
      <c r="F52" s="21" t="n"/>
      <c r="G52" s="21" t="n"/>
      <c r="H52" s="15">
        <f>IF(F52="","",F52-N(G52))</f>
        <v/>
      </c>
      <c r="I52">
        <f>IF(OR(F52="",E52=""),"",MAX(0,Parametros!$B$1-E52))</f>
        <v/>
      </c>
      <c r="J52">
        <f>IF(OR(H52="",I52=""),"",IF(H52&lt;=0,"Pagada",IF(I52=0,"No vencida",IF(I52&lt;=30,"1-30",IF(I52&lt;=60,"31-60",IF(I52&lt;=90,"61-90",IF(I52&lt;=180,"91-180",IF(I52&lt;=360,"181-360","Más de 360"))))))))</f>
        <v/>
      </c>
      <c r="K52" s="14">
        <f>IF(OR(J52="",J52="Pagada"),"",VLOOKUP(J52,Parametros!$A$4:$B$10,2,FALSE))</f>
        <v/>
      </c>
      <c r="L52" s="15">
        <f>IF(K52="","",H52*K52)</f>
        <v/>
      </c>
    </row>
    <row r="53">
      <c r="A53" s="20" t="n"/>
      <c r="B53" s="20" t="n"/>
      <c r="C53" s="20" t="n"/>
      <c r="D53" s="16" t="n"/>
      <c r="E53" s="16" t="n"/>
      <c r="F53" s="21" t="n"/>
      <c r="G53" s="21" t="n"/>
      <c r="H53" s="15">
        <f>IF(F53="","",F53-N(G53))</f>
        <v/>
      </c>
      <c r="I53">
        <f>IF(OR(F53="",E53=""),"",MAX(0,Parametros!$B$1-E53))</f>
        <v/>
      </c>
      <c r="J53">
        <f>IF(OR(H53="",I53=""),"",IF(H53&lt;=0,"Pagada",IF(I53=0,"No vencida",IF(I53&lt;=30,"1-30",IF(I53&lt;=60,"31-60",IF(I53&lt;=90,"61-90",IF(I53&lt;=180,"91-180",IF(I53&lt;=360,"181-360","Más de 360"))))))))</f>
        <v/>
      </c>
      <c r="K53" s="14">
        <f>IF(OR(J53="",J53="Pagada"),"",VLOOKUP(J53,Parametros!$A$4:$B$10,2,FALSE))</f>
        <v/>
      </c>
      <c r="L53" s="15">
        <f>IF(K53="","",H53*K53)</f>
        <v/>
      </c>
    </row>
    <row r="54">
      <c r="A54" s="20" t="n"/>
      <c r="B54" s="20" t="n"/>
      <c r="C54" s="20" t="n"/>
      <c r="D54" s="16" t="n"/>
      <c r="E54" s="16" t="n"/>
      <c r="F54" s="21" t="n"/>
      <c r="G54" s="21" t="n"/>
      <c r="H54" s="15">
        <f>IF(F54="","",F54-N(G54))</f>
        <v/>
      </c>
      <c r="I54">
        <f>IF(OR(F54="",E54=""),"",MAX(0,Parametros!$B$1-E54))</f>
        <v/>
      </c>
      <c r="J54">
        <f>IF(OR(H54="",I54=""),"",IF(H54&lt;=0,"Pagada",IF(I54=0,"No vencida",IF(I54&lt;=30,"1-30",IF(I54&lt;=60,"31-60",IF(I54&lt;=90,"61-90",IF(I54&lt;=180,"91-180",IF(I54&lt;=360,"181-360","Más de 360"))))))))</f>
        <v/>
      </c>
      <c r="K54" s="14">
        <f>IF(OR(J54="",J54="Pagada"),"",VLOOKUP(J54,Parametros!$A$4:$B$10,2,FALSE))</f>
        <v/>
      </c>
      <c r="L54" s="15">
        <f>IF(K54="","",H54*K54)</f>
        <v/>
      </c>
    </row>
    <row r="55">
      <c r="A55" s="20" t="n"/>
      <c r="B55" s="20" t="n"/>
      <c r="C55" s="20" t="n"/>
      <c r="D55" s="16" t="n"/>
      <c r="E55" s="16" t="n"/>
      <c r="F55" s="21" t="n"/>
      <c r="G55" s="21" t="n"/>
      <c r="H55" s="15">
        <f>IF(F55="","",F55-N(G55))</f>
        <v/>
      </c>
      <c r="I55">
        <f>IF(OR(F55="",E55=""),"",MAX(0,Parametros!$B$1-E55))</f>
        <v/>
      </c>
      <c r="J55">
        <f>IF(OR(H55="",I55=""),"",IF(H55&lt;=0,"Pagada",IF(I55=0,"No vencida",IF(I55&lt;=30,"1-30",IF(I55&lt;=60,"31-60",IF(I55&lt;=90,"61-90",IF(I55&lt;=180,"91-180",IF(I55&lt;=360,"181-360","Más de 360"))))))))</f>
        <v/>
      </c>
      <c r="K55" s="14">
        <f>IF(OR(J55="",J55="Pagada"),"",VLOOKUP(J55,Parametros!$A$4:$B$10,2,FALSE))</f>
        <v/>
      </c>
      <c r="L55" s="15">
        <f>IF(K55="","",H55*K55)</f>
        <v/>
      </c>
    </row>
    <row r="56">
      <c r="A56" s="20" t="n"/>
      <c r="B56" s="20" t="n"/>
      <c r="C56" s="20" t="n"/>
      <c r="D56" s="16" t="n"/>
      <c r="E56" s="16" t="n"/>
      <c r="F56" s="21" t="n"/>
      <c r="G56" s="21" t="n"/>
      <c r="H56" s="15">
        <f>IF(F56="","",F56-N(G56))</f>
        <v/>
      </c>
      <c r="I56">
        <f>IF(OR(F56="",E56=""),"",MAX(0,Parametros!$B$1-E56))</f>
        <v/>
      </c>
      <c r="J56">
        <f>IF(OR(H56="",I56=""),"",IF(H56&lt;=0,"Pagada",IF(I56=0,"No vencida",IF(I56&lt;=30,"1-30",IF(I56&lt;=60,"31-60",IF(I56&lt;=90,"61-90",IF(I56&lt;=180,"91-180",IF(I56&lt;=360,"181-360","Más de 360"))))))))</f>
        <v/>
      </c>
      <c r="K56" s="14">
        <f>IF(OR(J56="",J56="Pagada"),"",VLOOKUP(J56,Parametros!$A$4:$B$10,2,FALSE))</f>
        <v/>
      </c>
      <c r="L56" s="15">
        <f>IF(K56="","",H56*K56)</f>
        <v/>
      </c>
    </row>
    <row r="57">
      <c r="A57" s="20" t="n"/>
      <c r="B57" s="20" t="n"/>
      <c r="C57" s="20" t="n"/>
      <c r="D57" s="16" t="n"/>
      <c r="E57" s="16" t="n"/>
      <c r="F57" s="21" t="n"/>
      <c r="G57" s="21" t="n"/>
      <c r="H57" s="15">
        <f>IF(F57="","",F57-N(G57))</f>
        <v/>
      </c>
      <c r="I57">
        <f>IF(OR(F57="",E57=""),"",MAX(0,Parametros!$B$1-E57))</f>
        <v/>
      </c>
      <c r="J57">
        <f>IF(OR(H57="",I57=""),"",IF(H57&lt;=0,"Pagada",IF(I57=0,"No vencida",IF(I57&lt;=30,"1-30",IF(I57&lt;=60,"31-60",IF(I57&lt;=90,"61-90",IF(I57&lt;=180,"91-180",IF(I57&lt;=360,"181-360","Más de 360"))))))))</f>
        <v/>
      </c>
      <c r="K57" s="14">
        <f>IF(OR(J57="",J57="Pagada"),"",VLOOKUP(J57,Parametros!$A$4:$B$10,2,FALSE))</f>
        <v/>
      </c>
      <c r="L57" s="15">
        <f>IF(K57="","",H57*K57)</f>
        <v/>
      </c>
    </row>
    <row r="58">
      <c r="A58" s="20" t="n"/>
      <c r="B58" s="20" t="n"/>
      <c r="C58" s="20" t="n"/>
      <c r="D58" s="16" t="n"/>
      <c r="E58" s="16" t="n"/>
      <c r="F58" s="21" t="n"/>
      <c r="G58" s="21" t="n"/>
      <c r="H58" s="15">
        <f>IF(F58="","",F58-N(G58))</f>
        <v/>
      </c>
      <c r="I58">
        <f>IF(OR(F58="",E58=""),"",MAX(0,Parametros!$B$1-E58))</f>
        <v/>
      </c>
      <c r="J58">
        <f>IF(OR(H58="",I58=""),"",IF(H58&lt;=0,"Pagada",IF(I58=0,"No vencida",IF(I58&lt;=30,"1-30",IF(I58&lt;=60,"31-60",IF(I58&lt;=90,"61-90",IF(I58&lt;=180,"91-180",IF(I58&lt;=360,"181-360","Más de 360"))))))))</f>
        <v/>
      </c>
      <c r="K58" s="14">
        <f>IF(OR(J58="",J58="Pagada"),"",VLOOKUP(J58,Parametros!$A$4:$B$10,2,FALSE))</f>
        <v/>
      </c>
      <c r="L58" s="15">
        <f>IF(K58="","",H58*K58)</f>
        <v/>
      </c>
    </row>
    <row r="59">
      <c r="A59" s="20" t="n"/>
      <c r="B59" s="20" t="n"/>
      <c r="C59" s="20" t="n"/>
      <c r="D59" s="16" t="n"/>
      <c r="E59" s="16" t="n"/>
      <c r="F59" s="21" t="n"/>
      <c r="G59" s="21" t="n"/>
      <c r="H59" s="15">
        <f>IF(F59="","",F59-N(G59))</f>
        <v/>
      </c>
      <c r="I59">
        <f>IF(OR(F59="",E59=""),"",MAX(0,Parametros!$B$1-E59))</f>
        <v/>
      </c>
      <c r="J59">
        <f>IF(OR(H59="",I59=""),"",IF(H59&lt;=0,"Pagada",IF(I59=0,"No vencida",IF(I59&lt;=30,"1-30",IF(I59&lt;=60,"31-60",IF(I59&lt;=90,"61-90",IF(I59&lt;=180,"91-180",IF(I59&lt;=360,"181-360","Más de 360"))))))))</f>
        <v/>
      </c>
      <c r="K59" s="14">
        <f>IF(OR(J59="",J59="Pagada"),"",VLOOKUP(J59,Parametros!$A$4:$B$10,2,FALSE))</f>
        <v/>
      </c>
      <c r="L59" s="15">
        <f>IF(K59="","",H59*K59)</f>
        <v/>
      </c>
    </row>
    <row r="60">
      <c r="A60" s="20" t="n"/>
      <c r="B60" s="20" t="n"/>
      <c r="C60" s="20" t="n"/>
      <c r="D60" s="16" t="n"/>
      <c r="E60" s="16" t="n"/>
      <c r="F60" s="21" t="n"/>
      <c r="G60" s="21" t="n"/>
      <c r="H60" s="15">
        <f>IF(F60="","",F60-N(G60))</f>
        <v/>
      </c>
      <c r="I60">
        <f>IF(OR(F60="",E60=""),"",MAX(0,Parametros!$B$1-E60))</f>
        <v/>
      </c>
      <c r="J60">
        <f>IF(OR(H60="",I60=""),"",IF(H60&lt;=0,"Pagada",IF(I60=0,"No vencida",IF(I60&lt;=30,"1-30",IF(I60&lt;=60,"31-60",IF(I60&lt;=90,"61-90",IF(I60&lt;=180,"91-180",IF(I60&lt;=360,"181-360","Más de 360"))))))))</f>
        <v/>
      </c>
      <c r="K60" s="14">
        <f>IF(OR(J60="",J60="Pagada"),"",VLOOKUP(J60,Parametros!$A$4:$B$10,2,FALSE))</f>
        <v/>
      </c>
      <c r="L60" s="15">
        <f>IF(K60="","",H60*K60)</f>
        <v/>
      </c>
    </row>
    <row r="61">
      <c r="A61" s="20" t="n"/>
      <c r="B61" s="20" t="n"/>
      <c r="C61" s="20" t="n"/>
      <c r="D61" s="16" t="n"/>
      <c r="E61" s="16" t="n"/>
      <c r="F61" s="21" t="n"/>
      <c r="G61" s="21" t="n"/>
      <c r="H61" s="15">
        <f>IF(F61="","",F61-N(G61))</f>
        <v/>
      </c>
      <c r="I61">
        <f>IF(OR(F61="",E61=""),"",MAX(0,Parametros!$B$1-E61))</f>
        <v/>
      </c>
      <c r="J61">
        <f>IF(OR(H61="",I61=""),"",IF(H61&lt;=0,"Pagada",IF(I61=0,"No vencida",IF(I61&lt;=30,"1-30",IF(I61&lt;=60,"31-60",IF(I61&lt;=90,"61-90",IF(I61&lt;=180,"91-180",IF(I61&lt;=360,"181-360","Más de 360"))))))))</f>
        <v/>
      </c>
      <c r="K61" s="14">
        <f>IF(OR(J61="",J61="Pagada"),"",VLOOKUP(J61,Parametros!$A$4:$B$10,2,FALSE))</f>
        <v/>
      </c>
      <c r="L61" s="15">
        <f>IF(K61="","",H61*K61)</f>
        <v/>
      </c>
    </row>
    <row r="62">
      <c r="A62" s="20" t="n"/>
      <c r="B62" s="20" t="n"/>
      <c r="C62" s="20" t="n"/>
      <c r="D62" s="16" t="n"/>
      <c r="E62" s="16" t="n"/>
      <c r="F62" s="21" t="n"/>
      <c r="G62" s="21" t="n"/>
      <c r="H62" s="15">
        <f>IF(F62="","",F62-N(G62))</f>
        <v/>
      </c>
      <c r="I62">
        <f>IF(OR(F62="",E62=""),"",MAX(0,Parametros!$B$1-E62))</f>
        <v/>
      </c>
      <c r="J62">
        <f>IF(OR(H62="",I62=""),"",IF(H62&lt;=0,"Pagada",IF(I62=0,"No vencida",IF(I62&lt;=30,"1-30",IF(I62&lt;=60,"31-60",IF(I62&lt;=90,"61-90",IF(I62&lt;=180,"91-180",IF(I62&lt;=360,"181-360","Más de 360"))))))))</f>
        <v/>
      </c>
      <c r="K62" s="14">
        <f>IF(OR(J62="",J62="Pagada"),"",VLOOKUP(J62,Parametros!$A$4:$B$10,2,FALSE))</f>
        <v/>
      </c>
      <c r="L62" s="15">
        <f>IF(K62="","",H62*K62)</f>
        <v/>
      </c>
    </row>
    <row r="63">
      <c r="A63" s="20" t="n"/>
      <c r="B63" s="20" t="n"/>
      <c r="C63" s="20" t="n"/>
      <c r="D63" s="16" t="n"/>
      <c r="E63" s="16" t="n"/>
      <c r="F63" s="21" t="n"/>
      <c r="G63" s="21" t="n"/>
      <c r="H63" s="15">
        <f>IF(F63="","",F63-N(G63))</f>
        <v/>
      </c>
      <c r="I63">
        <f>IF(OR(F63="",E63=""),"",MAX(0,Parametros!$B$1-E63))</f>
        <v/>
      </c>
      <c r="J63">
        <f>IF(OR(H63="",I63=""),"",IF(H63&lt;=0,"Pagada",IF(I63=0,"No vencida",IF(I63&lt;=30,"1-30",IF(I63&lt;=60,"31-60",IF(I63&lt;=90,"61-90",IF(I63&lt;=180,"91-180",IF(I63&lt;=360,"181-360","Más de 360"))))))))</f>
        <v/>
      </c>
      <c r="K63" s="14">
        <f>IF(OR(J63="",J63="Pagada"),"",VLOOKUP(J63,Parametros!$A$4:$B$10,2,FALSE))</f>
        <v/>
      </c>
      <c r="L63" s="15">
        <f>IF(K63="","",H63*K63)</f>
        <v/>
      </c>
    </row>
    <row r="64">
      <c r="A64" s="20" t="n"/>
      <c r="B64" s="20" t="n"/>
      <c r="C64" s="20" t="n"/>
      <c r="D64" s="16" t="n"/>
      <c r="E64" s="16" t="n"/>
      <c r="F64" s="21" t="n"/>
      <c r="G64" s="21" t="n"/>
      <c r="H64" s="15">
        <f>IF(F64="","",F64-N(G64))</f>
        <v/>
      </c>
      <c r="I64">
        <f>IF(OR(F64="",E64=""),"",MAX(0,Parametros!$B$1-E64))</f>
        <v/>
      </c>
      <c r="J64">
        <f>IF(OR(H64="",I64=""),"",IF(H64&lt;=0,"Pagada",IF(I64=0,"No vencida",IF(I64&lt;=30,"1-30",IF(I64&lt;=60,"31-60",IF(I64&lt;=90,"61-90",IF(I64&lt;=180,"91-180",IF(I64&lt;=360,"181-360","Más de 360"))))))))</f>
        <v/>
      </c>
      <c r="K64" s="14">
        <f>IF(OR(J64="",J64="Pagada"),"",VLOOKUP(J64,Parametros!$A$4:$B$10,2,FALSE))</f>
        <v/>
      </c>
      <c r="L64" s="15">
        <f>IF(K64="","",H64*K64)</f>
        <v/>
      </c>
    </row>
    <row r="65">
      <c r="A65" s="20" t="n"/>
      <c r="B65" s="20" t="n"/>
      <c r="C65" s="20" t="n"/>
      <c r="D65" s="16" t="n"/>
      <c r="E65" s="16" t="n"/>
      <c r="F65" s="21" t="n"/>
      <c r="G65" s="21" t="n"/>
      <c r="H65" s="15">
        <f>IF(F65="","",F65-N(G65))</f>
        <v/>
      </c>
      <c r="I65">
        <f>IF(OR(F65="",E65=""),"",MAX(0,Parametros!$B$1-E65))</f>
        <v/>
      </c>
      <c r="J65">
        <f>IF(OR(H65="",I65=""),"",IF(H65&lt;=0,"Pagada",IF(I65=0,"No vencida",IF(I65&lt;=30,"1-30",IF(I65&lt;=60,"31-60",IF(I65&lt;=90,"61-90",IF(I65&lt;=180,"91-180",IF(I65&lt;=360,"181-360","Más de 360"))))))))</f>
        <v/>
      </c>
      <c r="K65" s="14">
        <f>IF(OR(J65="",J65="Pagada"),"",VLOOKUP(J65,Parametros!$A$4:$B$10,2,FALSE))</f>
        <v/>
      </c>
      <c r="L65" s="15">
        <f>IF(K65="","",H65*K65)</f>
        <v/>
      </c>
    </row>
    <row r="66">
      <c r="A66" s="20" t="n"/>
      <c r="B66" s="20" t="n"/>
      <c r="C66" s="20" t="n"/>
      <c r="D66" s="16" t="n"/>
      <c r="E66" s="16" t="n"/>
      <c r="F66" s="21" t="n"/>
      <c r="G66" s="21" t="n"/>
      <c r="H66" s="15">
        <f>IF(F66="","",F66-N(G66))</f>
        <v/>
      </c>
      <c r="I66">
        <f>IF(OR(F66="",E66=""),"",MAX(0,Parametros!$B$1-E66))</f>
        <v/>
      </c>
      <c r="J66">
        <f>IF(OR(H66="",I66=""),"",IF(H66&lt;=0,"Pagada",IF(I66=0,"No vencida",IF(I66&lt;=30,"1-30",IF(I66&lt;=60,"31-60",IF(I66&lt;=90,"61-90",IF(I66&lt;=180,"91-180",IF(I66&lt;=360,"181-360","Más de 360"))))))))</f>
        <v/>
      </c>
      <c r="K66" s="14">
        <f>IF(OR(J66="",J66="Pagada"),"",VLOOKUP(J66,Parametros!$A$4:$B$10,2,FALSE))</f>
        <v/>
      </c>
      <c r="L66" s="15">
        <f>IF(K66="","",H66*K66)</f>
        <v/>
      </c>
    </row>
    <row r="67">
      <c r="A67" s="20" t="n"/>
      <c r="B67" s="20" t="n"/>
      <c r="C67" s="20" t="n"/>
      <c r="D67" s="16" t="n"/>
      <c r="E67" s="16" t="n"/>
      <c r="F67" s="21" t="n"/>
      <c r="G67" s="21" t="n"/>
      <c r="H67" s="15">
        <f>IF(F67="","",F67-N(G67))</f>
        <v/>
      </c>
      <c r="I67">
        <f>IF(OR(F67="",E67=""),"",MAX(0,Parametros!$B$1-E67))</f>
        <v/>
      </c>
      <c r="J67">
        <f>IF(OR(H67="",I67=""),"",IF(H67&lt;=0,"Pagada",IF(I67=0,"No vencida",IF(I67&lt;=30,"1-30",IF(I67&lt;=60,"31-60",IF(I67&lt;=90,"61-90",IF(I67&lt;=180,"91-180",IF(I67&lt;=360,"181-360","Más de 360"))))))))</f>
        <v/>
      </c>
      <c r="K67" s="14">
        <f>IF(OR(J67="",J67="Pagada"),"",VLOOKUP(J67,Parametros!$A$4:$B$10,2,FALSE))</f>
        <v/>
      </c>
      <c r="L67" s="15">
        <f>IF(K67="","",H67*K67)</f>
        <v/>
      </c>
    </row>
    <row r="68">
      <c r="A68" s="20" t="n"/>
      <c r="B68" s="20" t="n"/>
      <c r="C68" s="20" t="n"/>
      <c r="D68" s="16" t="n"/>
      <c r="E68" s="16" t="n"/>
      <c r="F68" s="21" t="n"/>
      <c r="G68" s="21" t="n"/>
      <c r="H68" s="15">
        <f>IF(F68="","",F68-N(G68))</f>
        <v/>
      </c>
      <c r="I68">
        <f>IF(OR(F68="",E68=""),"",MAX(0,Parametros!$B$1-E68))</f>
        <v/>
      </c>
      <c r="J68">
        <f>IF(OR(H68="",I68=""),"",IF(H68&lt;=0,"Pagada",IF(I68=0,"No vencida",IF(I68&lt;=30,"1-30",IF(I68&lt;=60,"31-60",IF(I68&lt;=90,"61-90",IF(I68&lt;=180,"91-180",IF(I68&lt;=360,"181-360","Más de 360"))))))))</f>
        <v/>
      </c>
      <c r="K68" s="14">
        <f>IF(OR(J68="",J68="Pagada"),"",VLOOKUP(J68,Parametros!$A$4:$B$10,2,FALSE))</f>
        <v/>
      </c>
      <c r="L68" s="15">
        <f>IF(K68="","",H68*K68)</f>
        <v/>
      </c>
    </row>
    <row r="69">
      <c r="A69" s="20" t="n"/>
      <c r="B69" s="20" t="n"/>
      <c r="C69" s="20" t="n"/>
      <c r="D69" s="16" t="n"/>
      <c r="E69" s="16" t="n"/>
      <c r="F69" s="21" t="n"/>
      <c r="G69" s="21" t="n"/>
      <c r="H69" s="15">
        <f>IF(F69="","",F69-N(G69))</f>
        <v/>
      </c>
      <c r="I69">
        <f>IF(OR(F69="",E69=""),"",MAX(0,Parametros!$B$1-E69))</f>
        <v/>
      </c>
      <c r="J69">
        <f>IF(OR(H69="",I69=""),"",IF(H69&lt;=0,"Pagada",IF(I69=0,"No vencida",IF(I69&lt;=30,"1-30",IF(I69&lt;=60,"31-60",IF(I69&lt;=90,"61-90",IF(I69&lt;=180,"91-180",IF(I69&lt;=360,"181-360","Más de 360"))))))))</f>
        <v/>
      </c>
      <c r="K69" s="14">
        <f>IF(OR(J69="",J69="Pagada"),"",VLOOKUP(J69,Parametros!$A$4:$B$10,2,FALSE))</f>
        <v/>
      </c>
      <c r="L69" s="15">
        <f>IF(K69="","",H69*K69)</f>
        <v/>
      </c>
    </row>
    <row r="70">
      <c r="A70" s="20" t="n"/>
      <c r="B70" s="20" t="n"/>
      <c r="C70" s="20" t="n"/>
      <c r="D70" s="16" t="n"/>
      <c r="E70" s="16" t="n"/>
      <c r="F70" s="21" t="n"/>
      <c r="G70" s="21" t="n"/>
      <c r="H70" s="15">
        <f>IF(F70="","",F70-N(G70))</f>
        <v/>
      </c>
      <c r="I70">
        <f>IF(OR(F70="",E70=""),"",MAX(0,Parametros!$B$1-E70))</f>
        <v/>
      </c>
      <c r="J70">
        <f>IF(OR(H70="",I70=""),"",IF(H70&lt;=0,"Pagada",IF(I70=0,"No vencida",IF(I70&lt;=30,"1-30",IF(I70&lt;=60,"31-60",IF(I70&lt;=90,"61-90",IF(I70&lt;=180,"91-180",IF(I70&lt;=360,"181-360","Más de 360"))))))))</f>
        <v/>
      </c>
      <c r="K70" s="14">
        <f>IF(OR(J70="",J70="Pagada"),"",VLOOKUP(J70,Parametros!$A$4:$B$10,2,FALSE))</f>
        <v/>
      </c>
      <c r="L70" s="15">
        <f>IF(K70="","",H70*K70)</f>
        <v/>
      </c>
    </row>
    <row r="71">
      <c r="A71" s="20" t="n"/>
      <c r="B71" s="20" t="n"/>
      <c r="C71" s="20" t="n"/>
      <c r="D71" s="16" t="n"/>
      <c r="E71" s="16" t="n"/>
      <c r="F71" s="21" t="n"/>
      <c r="G71" s="21" t="n"/>
      <c r="H71" s="15">
        <f>IF(F71="","",F71-N(G71))</f>
        <v/>
      </c>
      <c r="I71">
        <f>IF(OR(F71="",E71=""),"",MAX(0,Parametros!$B$1-E71))</f>
        <v/>
      </c>
      <c r="J71">
        <f>IF(OR(H71="",I71=""),"",IF(H71&lt;=0,"Pagada",IF(I71=0,"No vencida",IF(I71&lt;=30,"1-30",IF(I71&lt;=60,"31-60",IF(I71&lt;=90,"61-90",IF(I71&lt;=180,"91-180",IF(I71&lt;=360,"181-360","Más de 360"))))))))</f>
        <v/>
      </c>
      <c r="K71" s="14">
        <f>IF(OR(J71="",J71="Pagada"),"",VLOOKUP(J71,Parametros!$A$4:$B$10,2,FALSE))</f>
        <v/>
      </c>
      <c r="L71" s="15">
        <f>IF(K71="","",H71*K71)</f>
        <v/>
      </c>
    </row>
    <row r="72">
      <c r="A72" s="20" t="n"/>
      <c r="B72" s="20" t="n"/>
      <c r="C72" s="20" t="n"/>
      <c r="D72" s="16" t="n"/>
      <c r="E72" s="16" t="n"/>
      <c r="F72" s="21" t="n"/>
      <c r="G72" s="21" t="n"/>
      <c r="H72" s="15">
        <f>IF(F72="","",F72-N(G72))</f>
        <v/>
      </c>
      <c r="I72">
        <f>IF(OR(F72="",E72=""),"",MAX(0,Parametros!$B$1-E72))</f>
        <v/>
      </c>
      <c r="J72">
        <f>IF(OR(H72="",I72=""),"",IF(H72&lt;=0,"Pagada",IF(I72=0,"No vencida",IF(I72&lt;=30,"1-30",IF(I72&lt;=60,"31-60",IF(I72&lt;=90,"61-90",IF(I72&lt;=180,"91-180",IF(I72&lt;=360,"181-360","Más de 360"))))))))</f>
        <v/>
      </c>
      <c r="K72" s="14">
        <f>IF(OR(J72="",J72="Pagada"),"",VLOOKUP(J72,Parametros!$A$4:$B$10,2,FALSE))</f>
        <v/>
      </c>
      <c r="L72" s="15">
        <f>IF(K72="","",H72*K72)</f>
        <v/>
      </c>
    </row>
    <row r="73">
      <c r="A73" s="20" t="n"/>
      <c r="B73" s="20" t="n"/>
      <c r="C73" s="20" t="n"/>
      <c r="D73" s="16" t="n"/>
      <c r="E73" s="16" t="n"/>
      <c r="F73" s="21" t="n"/>
      <c r="G73" s="21" t="n"/>
      <c r="H73" s="15">
        <f>IF(F73="","",F73-N(G73))</f>
        <v/>
      </c>
      <c r="I73">
        <f>IF(OR(F73="",E73=""),"",MAX(0,Parametros!$B$1-E73))</f>
        <v/>
      </c>
      <c r="J73">
        <f>IF(OR(H73="",I73=""),"",IF(H73&lt;=0,"Pagada",IF(I73=0,"No vencida",IF(I73&lt;=30,"1-30",IF(I73&lt;=60,"31-60",IF(I73&lt;=90,"61-90",IF(I73&lt;=180,"91-180",IF(I73&lt;=360,"181-360","Más de 360"))))))))</f>
        <v/>
      </c>
      <c r="K73" s="14">
        <f>IF(OR(J73="",J73="Pagada"),"",VLOOKUP(J73,Parametros!$A$4:$B$10,2,FALSE))</f>
        <v/>
      </c>
      <c r="L73" s="15">
        <f>IF(K73="","",H73*K73)</f>
        <v/>
      </c>
    </row>
    <row r="74">
      <c r="A74" s="20" t="n"/>
      <c r="B74" s="20" t="n"/>
      <c r="C74" s="20" t="n"/>
      <c r="D74" s="16" t="n"/>
      <c r="E74" s="16" t="n"/>
      <c r="F74" s="21" t="n"/>
      <c r="G74" s="21" t="n"/>
      <c r="H74" s="15">
        <f>IF(F74="","",F74-N(G74))</f>
        <v/>
      </c>
      <c r="I74">
        <f>IF(OR(F74="",E74=""),"",MAX(0,Parametros!$B$1-E74))</f>
        <v/>
      </c>
      <c r="J74">
        <f>IF(OR(H74="",I74=""),"",IF(H74&lt;=0,"Pagada",IF(I74=0,"No vencida",IF(I74&lt;=30,"1-30",IF(I74&lt;=60,"31-60",IF(I74&lt;=90,"61-90",IF(I74&lt;=180,"91-180",IF(I74&lt;=360,"181-360","Más de 360"))))))))</f>
        <v/>
      </c>
      <c r="K74" s="14">
        <f>IF(OR(J74="",J74="Pagada"),"",VLOOKUP(J74,Parametros!$A$4:$B$10,2,FALSE))</f>
        <v/>
      </c>
      <c r="L74" s="15">
        <f>IF(K74="","",H74*K74)</f>
        <v/>
      </c>
    </row>
    <row r="75">
      <c r="A75" s="20" t="n"/>
      <c r="B75" s="20" t="n"/>
      <c r="C75" s="20" t="n"/>
      <c r="D75" s="16" t="n"/>
      <c r="E75" s="16" t="n"/>
      <c r="F75" s="21" t="n"/>
      <c r="G75" s="21" t="n"/>
      <c r="H75" s="15">
        <f>IF(F75="","",F75-N(G75))</f>
        <v/>
      </c>
      <c r="I75">
        <f>IF(OR(F75="",E75=""),"",MAX(0,Parametros!$B$1-E75))</f>
        <v/>
      </c>
      <c r="J75">
        <f>IF(OR(H75="",I75=""),"",IF(H75&lt;=0,"Pagada",IF(I75=0,"No vencida",IF(I75&lt;=30,"1-30",IF(I75&lt;=60,"31-60",IF(I75&lt;=90,"61-90",IF(I75&lt;=180,"91-180",IF(I75&lt;=360,"181-360","Más de 360"))))))))</f>
        <v/>
      </c>
      <c r="K75" s="14">
        <f>IF(OR(J75="",J75="Pagada"),"",VLOOKUP(J75,Parametros!$A$4:$B$10,2,FALSE))</f>
        <v/>
      </c>
      <c r="L75" s="15">
        <f>IF(K75="","",H75*K75)</f>
        <v/>
      </c>
    </row>
    <row r="76">
      <c r="A76" s="20" t="n"/>
      <c r="B76" s="20" t="n"/>
      <c r="C76" s="20" t="n"/>
      <c r="D76" s="16" t="n"/>
      <c r="E76" s="16" t="n"/>
      <c r="F76" s="21" t="n"/>
      <c r="G76" s="21" t="n"/>
      <c r="H76" s="15">
        <f>IF(F76="","",F76-N(G76))</f>
        <v/>
      </c>
      <c r="I76">
        <f>IF(OR(F76="",E76=""),"",MAX(0,Parametros!$B$1-E76))</f>
        <v/>
      </c>
      <c r="J76">
        <f>IF(OR(H76="",I76=""),"",IF(H76&lt;=0,"Pagada",IF(I76=0,"No vencida",IF(I76&lt;=30,"1-30",IF(I76&lt;=60,"31-60",IF(I76&lt;=90,"61-90",IF(I76&lt;=180,"91-180",IF(I76&lt;=360,"181-360","Más de 360"))))))))</f>
        <v/>
      </c>
      <c r="K76" s="14">
        <f>IF(OR(J76="",J76="Pagada"),"",VLOOKUP(J76,Parametros!$A$4:$B$10,2,FALSE))</f>
        <v/>
      </c>
      <c r="L76" s="15">
        <f>IF(K76="","",H76*K76)</f>
        <v/>
      </c>
    </row>
    <row r="77">
      <c r="A77" s="20" t="n"/>
      <c r="B77" s="20" t="n"/>
      <c r="C77" s="20" t="n"/>
      <c r="D77" s="16" t="n"/>
      <c r="E77" s="16" t="n"/>
      <c r="F77" s="21" t="n"/>
      <c r="G77" s="21" t="n"/>
      <c r="H77" s="15">
        <f>IF(F77="","",F77-N(G77))</f>
        <v/>
      </c>
      <c r="I77">
        <f>IF(OR(F77="",E77=""),"",MAX(0,Parametros!$B$1-E77))</f>
        <v/>
      </c>
      <c r="J77">
        <f>IF(OR(H77="",I77=""),"",IF(H77&lt;=0,"Pagada",IF(I77=0,"No vencida",IF(I77&lt;=30,"1-30",IF(I77&lt;=60,"31-60",IF(I77&lt;=90,"61-90",IF(I77&lt;=180,"91-180",IF(I77&lt;=360,"181-360","Más de 360"))))))))</f>
        <v/>
      </c>
      <c r="K77" s="14">
        <f>IF(OR(J77="",J77="Pagada"),"",VLOOKUP(J77,Parametros!$A$4:$B$10,2,FALSE))</f>
        <v/>
      </c>
      <c r="L77" s="15">
        <f>IF(K77="","",H77*K77)</f>
        <v/>
      </c>
    </row>
    <row r="78">
      <c r="A78" s="20" t="n"/>
      <c r="B78" s="20" t="n"/>
      <c r="C78" s="20" t="n"/>
      <c r="D78" s="16" t="n"/>
      <c r="E78" s="16" t="n"/>
      <c r="F78" s="21" t="n"/>
      <c r="G78" s="21" t="n"/>
      <c r="H78" s="15">
        <f>IF(F78="","",F78-N(G78))</f>
        <v/>
      </c>
      <c r="I78">
        <f>IF(OR(F78="",E78=""),"",MAX(0,Parametros!$B$1-E78))</f>
        <v/>
      </c>
      <c r="J78">
        <f>IF(OR(H78="",I78=""),"",IF(H78&lt;=0,"Pagada",IF(I78=0,"No vencida",IF(I78&lt;=30,"1-30",IF(I78&lt;=60,"31-60",IF(I78&lt;=90,"61-90",IF(I78&lt;=180,"91-180",IF(I78&lt;=360,"181-360","Más de 360"))))))))</f>
        <v/>
      </c>
      <c r="K78" s="14">
        <f>IF(OR(J78="",J78="Pagada"),"",VLOOKUP(J78,Parametros!$A$4:$B$10,2,FALSE))</f>
        <v/>
      </c>
      <c r="L78" s="15">
        <f>IF(K78="","",H78*K78)</f>
        <v/>
      </c>
    </row>
    <row r="79">
      <c r="A79" s="20" t="n"/>
      <c r="B79" s="20" t="n"/>
      <c r="C79" s="20" t="n"/>
      <c r="D79" s="16" t="n"/>
      <c r="E79" s="16" t="n"/>
      <c r="F79" s="21" t="n"/>
      <c r="G79" s="21" t="n"/>
      <c r="H79" s="15">
        <f>IF(F79="","",F79-N(G79))</f>
        <v/>
      </c>
      <c r="I79">
        <f>IF(OR(F79="",E79=""),"",MAX(0,Parametros!$B$1-E79))</f>
        <v/>
      </c>
      <c r="J79">
        <f>IF(OR(H79="",I79=""),"",IF(H79&lt;=0,"Pagada",IF(I79=0,"No vencida",IF(I79&lt;=30,"1-30",IF(I79&lt;=60,"31-60",IF(I79&lt;=90,"61-90",IF(I79&lt;=180,"91-180",IF(I79&lt;=360,"181-360","Más de 360"))))))))</f>
        <v/>
      </c>
      <c r="K79" s="14">
        <f>IF(OR(J79="",J79="Pagada"),"",VLOOKUP(J79,Parametros!$A$4:$B$10,2,FALSE))</f>
        <v/>
      </c>
      <c r="L79" s="15">
        <f>IF(K79="","",H79*K79)</f>
        <v/>
      </c>
    </row>
    <row r="80">
      <c r="A80" s="20" t="n"/>
      <c r="B80" s="20" t="n"/>
      <c r="C80" s="20" t="n"/>
      <c r="D80" s="16" t="n"/>
      <c r="E80" s="16" t="n"/>
      <c r="F80" s="21" t="n"/>
      <c r="G80" s="21" t="n"/>
      <c r="H80" s="15">
        <f>IF(F80="","",F80-N(G80))</f>
        <v/>
      </c>
      <c r="I80">
        <f>IF(OR(F80="",E80=""),"",MAX(0,Parametros!$B$1-E80))</f>
        <v/>
      </c>
      <c r="J80">
        <f>IF(OR(H80="",I80=""),"",IF(H80&lt;=0,"Pagada",IF(I80=0,"No vencida",IF(I80&lt;=30,"1-30",IF(I80&lt;=60,"31-60",IF(I80&lt;=90,"61-90",IF(I80&lt;=180,"91-180",IF(I80&lt;=360,"181-360","Más de 360"))))))))</f>
        <v/>
      </c>
      <c r="K80" s="14">
        <f>IF(OR(J80="",J80="Pagada"),"",VLOOKUP(J80,Parametros!$A$4:$B$10,2,FALSE))</f>
        <v/>
      </c>
      <c r="L80" s="15">
        <f>IF(K80="","",H80*K80)</f>
        <v/>
      </c>
    </row>
    <row r="81">
      <c r="A81" s="20" t="n"/>
      <c r="B81" s="20" t="n"/>
      <c r="C81" s="20" t="n"/>
      <c r="D81" s="16" t="n"/>
      <c r="E81" s="16" t="n"/>
      <c r="F81" s="21" t="n"/>
      <c r="G81" s="21" t="n"/>
      <c r="H81" s="15">
        <f>IF(F81="","",F81-N(G81))</f>
        <v/>
      </c>
      <c r="I81">
        <f>IF(OR(F81="",E81=""),"",MAX(0,Parametros!$B$1-E81))</f>
        <v/>
      </c>
      <c r="J81">
        <f>IF(OR(H81="",I81=""),"",IF(H81&lt;=0,"Pagada",IF(I81=0,"No vencida",IF(I81&lt;=30,"1-30",IF(I81&lt;=60,"31-60",IF(I81&lt;=90,"61-90",IF(I81&lt;=180,"91-180",IF(I81&lt;=360,"181-360","Más de 360"))))))))</f>
        <v/>
      </c>
      <c r="K81" s="14">
        <f>IF(OR(J81="",J81="Pagada"),"",VLOOKUP(J81,Parametros!$A$4:$B$10,2,FALSE))</f>
        <v/>
      </c>
      <c r="L81" s="15">
        <f>IF(K81="","",H81*K81)</f>
        <v/>
      </c>
    </row>
    <row r="82">
      <c r="A82" s="20" t="n"/>
      <c r="B82" s="20" t="n"/>
      <c r="C82" s="20" t="n"/>
      <c r="D82" s="16" t="n"/>
      <c r="E82" s="16" t="n"/>
      <c r="F82" s="21" t="n"/>
      <c r="G82" s="21" t="n"/>
      <c r="H82" s="15">
        <f>IF(F82="","",F82-N(G82))</f>
        <v/>
      </c>
      <c r="I82">
        <f>IF(OR(F82="",E82=""),"",MAX(0,Parametros!$B$1-E82))</f>
        <v/>
      </c>
      <c r="J82">
        <f>IF(OR(H82="",I82=""),"",IF(H82&lt;=0,"Pagada",IF(I82=0,"No vencida",IF(I82&lt;=30,"1-30",IF(I82&lt;=60,"31-60",IF(I82&lt;=90,"61-90",IF(I82&lt;=180,"91-180",IF(I82&lt;=360,"181-360","Más de 360"))))))))</f>
        <v/>
      </c>
      <c r="K82" s="14">
        <f>IF(OR(J82="",J82="Pagada"),"",VLOOKUP(J82,Parametros!$A$4:$B$10,2,FALSE))</f>
        <v/>
      </c>
      <c r="L82" s="15">
        <f>IF(K82="","",H82*K82)</f>
        <v/>
      </c>
    </row>
    <row r="83">
      <c r="A83" s="20" t="n"/>
      <c r="B83" s="20" t="n"/>
      <c r="C83" s="20" t="n"/>
      <c r="D83" s="16" t="n"/>
      <c r="E83" s="16" t="n"/>
      <c r="F83" s="21" t="n"/>
      <c r="G83" s="21" t="n"/>
      <c r="H83" s="15">
        <f>IF(F83="","",F83-N(G83))</f>
        <v/>
      </c>
      <c r="I83">
        <f>IF(OR(F83="",E83=""),"",MAX(0,Parametros!$B$1-E83))</f>
        <v/>
      </c>
      <c r="J83">
        <f>IF(OR(H83="",I83=""),"",IF(H83&lt;=0,"Pagada",IF(I83=0,"No vencida",IF(I83&lt;=30,"1-30",IF(I83&lt;=60,"31-60",IF(I83&lt;=90,"61-90",IF(I83&lt;=180,"91-180",IF(I83&lt;=360,"181-360","Más de 360"))))))))</f>
        <v/>
      </c>
      <c r="K83" s="14">
        <f>IF(OR(J83="",J83="Pagada"),"",VLOOKUP(J83,Parametros!$A$4:$B$10,2,FALSE))</f>
        <v/>
      </c>
      <c r="L83" s="15">
        <f>IF(K83="","",H83*K83)</f>
        <v/>
      </c>
    </row>
    <row r="84">
      <c r="A84" s="20" t="n"/>
      <c r="B84" s="20" t="n"/>
      <c r="C84" s="20" t="n"/>
      <c r="D84" s="16" t="n"/>
      <c r="E84" s="16" t="n"/>
      <c r="F84" s="21" t="n"/>
      <c r="G84" s="21" t="n"/>
      <c r="H84" s="15">
        <f>IF(F84="","",F84-N(G84))</f>
        <v/>
      </c>
      <c r="I84">
        <f>IF(OR(F84="",E84=""),"",MAX(0,Parametros!$B$1-E84))</f>
        <v/>
      </c>
      <c r="J84">
        <f>IF(OR(H84="",I84=""),"",IF(H84&lt;=0,"Pagada",IF(I84=0,"No vencida",IF(I84&lt;=30,"1-30",IF(I84&lt;=60,"31-60",IF(I84&lt;=90,"61-90",IF(I84&lt;=180,"91-180",IF(I84&lt;=360,"181-360","Más de 360"))))))))</f>
        <v/>
      </c>
      <c r="K84" s="14">
        <f>IF(OR(J84="",J84="Pagada"),"",VLOOKUP(J84,Parametros!$A$4:$B$10,2,FALSE))</f>
        <v/>
      </c>
      <c r="L84" s="15">
        <f>IF(K84="","",H84*K84)</f>
        <v/>
      </c>
    </row>
    <row r="85">
      <c r="A85" s="20" t="n"/>
      <c r="B85" s="20" t="n"/>
      <c r="C85" s="20" t="n"/>
      <c r="D85" s="16" t="n"/>
      <c r="E85" s="16" t="n"/>
      <c r="F85" s="21" t="n"/>
      <c r="G85" s="21" t="n"/>
      <c r="H85" s="15">
        <f>IF(F85="","",F85-N(G85))</f>
        <v/>
      </c>
      <c r="I85">
        <f>IF(OR(F85="",E85=""),"",MAX(0,Parametros!$B$1-E85))</f>
        <v/>
      </c>
      <c r="J85">
        <f>IF(OR(H85="",I85=""),"",IF(H85&lt;=0,"Pagada",IF(I85=0,"No vencida",IF(I85&lt;=30,"1-30",IF(I85&lt;=60,"31-60",IF(I85&lt;=90,"61-90",IF(I85&lt;=180,"91-180",IF(I85&lt;=360,"181-360","Más de 360"))))))))</f>
        <v/>
      </c>
      <c r="K85" s="14">
        <f>IF(OR(J85="",J85="Pagada"),"",VLOOKUP(J85,Parametros!$A$4:$B$10,2,FALSE))</f>
        <v/>
      </c>
      <c r="L85" s="15">
        <f>IF(K85="","",H85*K85)</f>
        <v/>
      </c>
    </row>
    <row r="86">
      <c r="A86" s="20" t="n"/>
      <c r="B86" s="20" t="n"/>
      <c r="C86" s="20" t="n"/>
      <c r="D86" s="16" t="n"/>
      <c r="E86" s="16" t="n"/>
      <c r="F86" s="21" t="n"/>
      <c r="G86" s="21" t="n"/>
      <c r="H86" s="15">
        <f>IF(F86="","",F86-N(G86))</f>
        <v/>
      </c>
      <c r="I86">
        <f>IF(OR(F86="",E86=""),"",MAX(0,Parametros!$B$1-E86))</f>
        <v/>
      </c>
      <c r="J86">
        <f>IF(OR(H86="",I86=""),"",IF(H86&lt;=0,"Pagada",IF(I86=0,"No vencida",IF(I86&lt;=30,"1-30",IF(I86&lt;=60,"31-60",IF(I86&lt;=90,"61-90",IF(I86&lt;=180,"91-180",IF(I86&lt;=360,"181-360","Más de 360"))))))))</f>
        <v/>
      </c>
      <c r="K86" s="14">
        <f>IF(OR(J86="",J86="Pagada"),"",VLOOKUP(J86,Parametros!$A$4:$B$10,2,FALSE))</f>
        <v/>
      </c>
      <c r="L86" s="15">
        <f>IF(K86="","",H86*K86)</f>
        <v/>
      </c>
    </row>
    <row r="87">
      <c r="A87" s="20" t="n"/>
      <c r="B87" s="20" t="n"/>
      <c r="C87" s="20" t="n"/>
      <c r="D87" s="16" t="n"/>
      <c r="E87" s="16" t="n"/>
      <c r="F87" s="21" t="n"/>
      <c r="G87" s="21" t="n"/>
      <c r="H87" s="15">
        <f>IF(F87="","",F87-N(G87))</f>
        <v/>
      </c>
      <c r="I87">
        <f>IF(OR(F87="",E87=""),"",MAX(0,Parametros!$B$1-E87))</f>
        <v/>
      </c>
      <c r="J87">
        <f>IF(OR(H87="",I87=""),"",IF(H87&lt;=0,"Pagada",IF(I87=0,"No vencida",IF(I87&lt;=30,"1-30",IF(I87&lt;=60,"31-60",IF(I87&lt;=90,"61-90",IF(I87&lt;=180,"91-180",IF(I87&lt;=360,"181-360","Más de 360"))))))))</f>
        <v/>
      </c>
      <c r="K87" s="14">
        <f>IF(OR(J87="",J87="Pagada"),"",VLOOKUP(J87,Parametros!$A$4:$B$10,2,FALSE))</f>
        <v/>
      </c>
      <c r="L87" s="15">
        <f>IF(K87="","",H87*K87)</f>
        <v/>
      </c>
    </row>
    <row r="88">
      <c r="A88" s="20" t="n"/>
      <c r="B88" s="20" t="n"/>
      <c r="C88" s="20" t="n"/>
      <c r="D88" s="16" t="n"/>
      <c r="E88" s="16" t="n"/>
      <c r="F88" s="21" t="n"/>
      <c r="G88" s="21" t="n"/>
      <c r="H88" s="15">
        <f>IF(F88="","",F88-N(G88))</f>
        <v/>
      </c>
      <c r="I88">
        <f>IF(OR(F88="",E88=""),"",MAX(0,Parametros!$B$1-E88))</f>
        <v/>
      </c>
      <c r="J88">
        <f>IF(OR(H88="",I88=""),"",IF(H88&lt;=0,"Pagada",IF(I88=0,"No vencida",IF(I88&lt;=30,"1-30",IF(I88&lt;=60,"31-60",IF(I88&lt;=90,"61-90",IF(I88&lt;=180,"91-180",IF(I88&lt;=360,"181-360","Más de 360"))))))))</f>
        <v/>
      </c>
      <c r="K88" s="14">
        <f>IF(OR(J88="",J88="Pagada"),"",VLOOKUP(J88,Parametros!$A$4:$B$10,2,FALSE))</f>
        <v/>
      </c>
      <c r="L88" s="15">
        <f>IF(K88="","",H88*K88)</f>
        <v/>
      </c>
    </row>
    <row r="89">
      <c r="A89" s="20" t="n"/>
      <c r="B89" s="20" t="n"/>
      <c r="C89" s="20" t="n"/>
      <c r="D89" s="16" t="n"/>
      <c r="E89" s="16" t="n"/>
      <c r="F89" s="21" t="n"/>
      <c r="G89" s="21" t="n"/>
      <c r="H89" s="15">
        <f>IF(F89="","",F89-N(G89))</f>
        <v/>
      </c>
      <c r="I89">
        <f>IF(OR(F89="",E89=""),"",MAX(0,Parametros!$B$1-E89))</f>
        <v/>
      </c>
      <c r="J89">
        <f>IF(OR(H89="",I89=""),"",IF(H89&lt;=0,"Pagada",IF(I89=0,"No vencida",IF(I89&lt;=30,"1-30",IF(I89&lt;=60,"31-60",IF(I89&lt;=90,"61-90",IF(I89&lt;=180,"91-180",IF(I89&lt;=360,"181-360","Más de 360"))))))))</f>
        <v/>
      </c>
      <c r="K89" s="14">
        <f>IF(OR(J89="",J89="Pagada"),"",VLOOKUP(J89,Parametros!$A$4:$B$10,2,FALSE))</f>
        <v/>
      </c>
      <c r="L89" s="15">
        <f>IF(K89="","",H89*K89)</f>
        <v/>
      </c>
    </row>
    <row r="90">
      <c r="A90" s="20" t="n"/>
      <c r="B90" s="20" t="n"/>
      <c r="C90" s="20" t="n"/>
      <c r="D90" s="16" t="n"/>
      <c r="E90" s="16" t="n"/>
      <c r="F90" s="21" t="n"/>
      <c r="G90" s="21" t="n"/>
      <c r="H90" s="15">
        <f>IF(F90="","",F90-N(G90))</f>
        <v/>
      </c>
      <c r="I90">
        <f>IF(OR(F90="",E90=""),"",MAX(0,Parametros!$B$1-E90))</f>
        <v/>
      </c>
      <c r="J90">
        <f>IF(OR(H90="",I90=""),"",IF(H90&lt;=0,"Pagada",IF(I90=0,"No vencida",IF(I90&lt;=30,"1-30",IF(I90&lt;=60,"31-60",IF(I90&lt;=90,"61-90",IF(I90&lt;=180,"91-180",IF(I90&lt;=360,"181-360","Más de 360"))))))))</f>
        <v/>
      </c>
      <c r="K90" s="14">
        <f>IF(OR(J90="",J90="Pagada"),"",VLOOKUP(J90,Parametros!$A$4:$B$10,2,FALSE))</f>
        <v/>
      </c>
      <c r="L90" s="15">
        <f>IF(K90="","",H90*K90)</f>
        <v/>
      </c>
    </row>
    <row r="91">
      <c r="A91" s="20" t="n"/>
      <c r="B91" s="20" t="n"/>
      <c r="C91" s="20" t="n"/>
      <c r="D91" s="16" t="n"/>
      <c r="E91" s="16" t="n"/>
      <c r="F91" s="21" t="n"/>
      <c r="G91" s="21" t="n"/>
      <c r="H91" s="15">
        <f>IF(F91="","",F91-N(G91))</f>
        <v/>
      </c>
      <c r="I91">
        <f>IF(OR(F91="",E91=""),"",MAX(0,Parametros!$B$1-E91))</f>
        <v/>
      </c>
      <c r="J91">
        <f>IF(OR(H91="",I91=""),"",IF(H91&lt;=0,"Pagada",IF(I91=0,"No vencida",IF(I91&lt;=30,"1-30",IF(I91&lt;=60,"31-60",IF(I91&lt;=90,"61-90",IF(I91&lt;=180,"91-180",IF(I91&lt;=360,"181-360","Más de 360"))))))))</f>
        <v/>
      </c>
      <c r="K91" s="14">
        <f>IF(OR(J91="",J91="Pagada"),"",VLOOKUP(J91,Parametros!$A$4:$B$10,2,FALSE))</f>
        <v/>
      </c>
      <c r="L91" s="15">
        <f>IF(K91="","",H91*K91)</f>
        <v/>
      </c>
    </row>
    <row r="92">
      <c r="A92" s="20" t="n"/>
      <c r="B92" s="20" t="n"/>
      <c r="C92" s="20" t="n"/>
      <c r="D92" s="16" t="n"/>
      <c r="E92" s="16" t="n"/>
      <c r="F92" s="21" t="n"/>
      <c r="G92" s="21" t="n"/>
      <c r="H92" s="15">
        <f>IF(F92="","",F92-N(G92))</f>
        <v/>
      </c>
      <c r="I92">
        <f>IF(OR(F92="",E92=""),"",MAX(0,Parametros!$B$1-E92))</f>
        <v/>
      </c>
      <c r="J92">
        <f>IF(OR(H92="",I92=""),"",IF(H92&lt;=0,"Pagada",IF(I92=0,"No vencida",IF(I92&lt;=30,"1-30",IF(I92&lt;=60,"31-60",IF(I92&lt;=90,"61-90",IF(I92&lt;=180,"91-180",IF(I92&lt;=360,"181-360","Más de 360"))))))))</f>
        <v/>
      </c>
      <c r="K92" s="14">
        <f>IF(OR(J92="",J92="Pagada"),"",VLOOKUP(J92,Parametros!$A$4:$B$10,2,FALSE))</f>
        <v/>
      </c>
      <c r="L92" s="15">
        <f>IF(K92="","",H92*K92)</f>
        <v/>
      </c>
    </row>
    <row r="93">
      <c r="A93" s="20" t="n"/>
      <c r="B93" s="20" t="n"/>
      <c r="C93" s="20" t="n"/>
      <c r="D93" s="16" t="n"/>
      <c r="E93" s="16" t="n"/>
      <c r="F93" s="21" t="n"/>
      <c r="G93" s="21" t="n"/>
      <c r="H93" s="15">
        <f>IF(F93="","",F93-N(G93))</f>
        <v/>
      </c>
      <c r="I93">
        <f>IF(OR(F93="",E93=""),"",MAX(0,Parametros!$B$1-E93))</f>
        <v/>
      </c>
      <c r="J93">
        <f>IF(OR(H93="",I93=""),"",IF(H93&lt;=0,"Pagada",IF(I93=0,"No vencida",IF(I93&lt;=30,"1-30",IF(I93&lt;=60,"31-60",IF(I93&lt;=90,"61-90",IF(I93&lt;=180,"91-180",IF(I93&lt;=360,"181-360","Más de 360"))))))))</f>
        <v/>
      </c>
      <c r="K93" s="14">
        <f>IF(OR(J93="",J93="Pagada"),"",VLOOKUP(J93,Parametros!$A$4:$B$10,2,FALSE))</f>
        <v/>
      </c>
      <c r="L93" s="15">
        <f>IF(K93="","",H93*K93)</f>
        <v/>
      </c>
    </row>
    <row r="94">
      <c r="A94" s="20" t="n"/>
      <c r="B94" s="20" t="n"/>
      <c r="C94" s="20" t="n"/>
      <c r="D94" s="16" t="n"/>
      <c r="E94" s="16" t="n"/>
      <c r="F94" s="21" t="n"/>
      <c r="G94" s="21" t="n"/>
      <c r="H94" s="15">
        <f>IF(F94="","",F94-N(G94))</f>
        <v/>
      </c>
      <c r="I94">
        <f>IF(OR(F94="",E94=""),"",MAX(0,Parametros!$B$1-E94))</f>
        <v/>
      </c>
      <c r="J94">
        <f>IF(OR(H94="",I94=""),"",IF(H94&lt;=0,"Pagada",IF(I94=0,"No vencida",IF(I94&lt;=30,"1-30",IF(I94&lt;=60,"31-60",IF(I94&lt;=90,"61-90",IF(I94&lt;=180,"91-180",IF(I94&lt;=360,"181-360","Más de 360"))))))))</f>
        <v/>
      </c>
      <c r="K94" s="14">
        <f>IF(OR(J94="",J94="Pagada"),"",VLOOKUP(J94,Parametros!$A$4:$B$10,2,FALSE))</f>
        <v/>
      </c>
      <c r="L94" s="15">
        <f>IF(K94="","",H94*K94)</f>
        <v/>
      </c>
    </row>
    <row r="95">
      <c r="A95" s="20" t="n"/>
      <c r="B95" s="20" t="n"/>
      <c r="C95" s="20" t="n"/>
      <c r="D95" s="16" t="n"/>
      <c r="E95" s="16" t="n"/>
      <c r="F95" s="21" t="n"/>
      <c r="G95" s="21" t="n"/>
      <c r="H95" s="15">
        <f>IF(F95="","",F95-N(G95))</f>
        <v/>
      </c>
      <c r="I95">
        <f>IF(OR(F95="",E95=""),"",MAX(0,Parametros!$B$1-E95))</f>
        <v/>
      </c>
      <c r="J95">
        <f>IF(OR(H95="",I95=""),"",IF(H95&lt;=0,"Pagada",IF(I95=0,"No vencida",IF(I95&lt;=30,"1-30",IF(I95&lt;=60,"31-60",IF(I95&lt;=90,"61-90",IF(I95&lt;=180,"91-180",IF(I95&lt;=360,"181-360","Más de 360"))))))))</f>
        <v/>
      </c>
      <c r="K95" s="14">
        <f>IF(OR(J95="",J95="Pagada"),"",VLOOKUP(J95,Parametros!$A$4:$B$10,2,FALSE))</f>
        <v/>
      </c>
      <c r="L95" s="15">
        <f>IF(K95="","",H95*K95)</f>
        <v/>
      </c>
    </row>
    <row r="96">
      <c r="A96" s="20" t="n"/>
      <c r="B96" s="20" t="n"/>
      <c r="C96" s="20" t="n"/>
      <c r="D96" s="16" t="n"/>
      <c r="E96" s="16" t="n"/>
      <c r="F96" s="21" t="n"/>
      <c r="G96" s="21" t="n"/>
      <c r="H96" s="15">
        <f>IF(F96="","",F96-N(G96))</f>
        <v/>
      </c>
      <c r="I96">
        <f>IF(OR(F96="",E96=""),"",MAX(0,Parametros!$B$1-E96))</f>
        <v/>
      </c>
      <c r="J96">
        <f>IF(OR(H96="",I96=""),"",IF(H96&lt;=0,"Pagada",IF(I96=0,"No vencida",IF(I96&lt;=30,"1-30",IF(I96&lt;=60,"31-60",IF(I96&lt;=90,"61-90",IF(I96&lt;=180,"91-180",IF(I96&lt;=360,"181-360","Más de 360"))))))))</f>
        <v/>
      </c>
      <c r="K96" s="14">
        <f>IF(OR(J96="",J96="Pagada"),"",VLOOKUP(J96,Parametros!$A$4:$B$10,2,FALSE))</f>
        <v/>
      </c>
      <c r="L96" s="15">
        <f>IF(K96="","",H96*K96)</f>
        <v/>
      </c>
    </row>
    <row r="97">
      <c r="A97" s="20" t="n"/>
      <c r="B97" s="20" t="n"/>
      <c r="C97" s="20" t="n"/>
      <c r="D97" s="16" t="n"/>
      <c r="E97" s="16" t="n"/>
      <c r="F97" s="21" t="n"/>
      <c r="G97" s="21" t="n"/>
      <c r="H97" s="15">
        <f>IF(F97="","",F97-N(G97))</f>
        <v/>
      </c>
      <c r="I97">
        <f>IF(OR(F97="",E97=""),"",MAX(0,Parametros!$B$1-E97))</f>
        <v/>
      </c>
      <c r="J97">
        <f>IF(OR(H97="",I97=""),"",IF(H97&lt;=0,"Pagada",IF(I97=0,"No vencida",IF(I97&lt;=30,"1-30",IF(I97&lt;=60,"31-60",IF(I97&lt;=90,"61-90",IF(I97&lt;=180,"91-180",IF(I97&lt;=360,"181-360","Más de 360"))))))))</f>
        <v/>
      </c>
      <c r="K97" s="14">
        <f>IF(OR(J97="",J97="Pagada"),"",VLOOKUP(J97,Parametros!$A$4:$B$10,2,FALSE))</f>
        <v/>
      </c>
      <c r="L97" s="15">
        <f>IF(K97="","",H97*K97)</f>
        <v/>
      </c>
    </row>
    <row r="98">
      <c r="A98" s="20" t="n"/>
      <c r="B98" s="20" t="n"/>
      <c r="C98" s="20" t="n"/>
      <c r="D98" s="16" t="n"/>
      <c r="E98" s="16" t="n"/>
      <c r="F98" s="21" t="n"/>
      <c r="G98" s="21" t="n"/>
      <c r="H98" s="15">
        <f>IF(F98="","",F98-N(G98))</f>
        <v/>
      </c>
      <c r="I98">
        <f>IF(OR(F98="",E98=""),"",MAX(0,Parametros!$B$1-E98))</f>
        <v/>
      </c>
      <c r="J98">
        <f>IF(OR(H98="",I98=""),"",IF(H98&lt;=0,"Pagada",IF(I98=0,"No vencida",IF(I98&lt;=30,"1-30",IF(I98&lt;=60,"31-60",IF(I98&lt;=90,"61-90",IF(I98&lt;=180,"91-180",IF(I98&lt;=360,"181-360","Más de 360"))))))))</f>
        <v/>
      </c>
      <c r="K98" s="14">
        <f>IF(OR(J98="",J98="Pagada"),"",VLOOKUP(J98,Parametros!$A$4:$B$10,2,FALSE))</f>
        <v/>
      </c>
      <c r="L98" s="15">
        <f>IF(K98="","",H98*K98)</f>
        <v/>
      </c>
    </row>
    <row r="99">
      <c r="A99" s="20" t="n"/>
      <c r="B99" s="20" t="n"/>
      <c r="C99" s="20" t="n"/>
      <c r="D99" s="16" t="n"/>
      <c r="E99" s="16" t="n"/>
      <c r="F99" s="21" t="n"/>
      <c r="G99" s="21" t="n"/>
      <c r="H99" s="15">
        <f>IF(F99="","",F99-N(G99))</f>
        <v/>
      </c>
      <c r="I99">
        <f>IF(OR(F99="",E99=""),"",MAX(0,Parametros!$B$1-E99))</f>
        <v/>
      </c>
      <c r="J99">
        <f>IF(OR(H99="",I99=""),"",IF(H99&lt;=0,"Pagada",IF(I99=0,"No vencida",IF(I99&lt;=30,"1-30",IF(I99&lt;=60,"31-60",IF(I99&lt;=90,"61-90",IF(I99&lt;=180,"91-180",IF(I99&lt;=360,"181-360","Más de 360"))))))))</f>
        <v/>
      </c>
      <c r="K99" s="14">
        <f>IF(OR(J99="",J99="Pagada"),"",VLOOKUP(J99,Parametros!$A$4:$B$10,2,FALSE))</f>
        <v/>
      </c>
      <c r="L99" s="15">
        <f>IF(K99="","",H99*K99)</f>
        <v/>
      </c>
    </row>
    <row r="100">
      <c r="A100" s="20" t="n"/>
      <c r="B100" s="20" t="n"/>
      <c r="C100" s="20" t="n"/>
      <c r="D100" s="16" t="n"/>
      <c r="E100" s="16" t="n"/>
      <c r="F100" s="21" t="n"/>
      <c r="G100" s="21" t="n"/>
      <c r="H100" s="15">
        <f>IF(F100="","",F100-N(G100))</f>
        <v/>
      </c>
      <c r="I100">
        <f>IF(OR(F100="",E100=""),"",MAX(0,Parametros!$B$1-E100))</f>
        <v/>
      </c>
      <c r="J100">
        <f>IF(OR(H100="",I100=""),"",IF(H100&lt;=0,"Pagada",IF(I100=0,"No vencida",IF(I100&lt;=30,"1-30",IF(I100&lt;=60,"31-60",IF(I100&lt;=90,"61-90",IF(I100&lt;=180,"91-180",IF(I100&lt;=360,"181-360","Más de 360"))))))))</f>
        <v/>
      </c>
      <c r="K100" s="14">
        <f>IF(OR(J100="",J100="Pagada"),"",VLOOKUP(J100,Parametros!$A$4:$B$10,2,FALSE))</f>
        <v/>
      </c>
      <c r="L100" s="15">
        <f>IF(K100="","",H100*K100)</f>
        <v/>
      </c>
    </row>
    <row r="101">
      <c r="A101" s="20" t="n"/>
      <c r="B101" s="20" t="n"/>
      <c r="C101" s="20" t="n"/>
      <c r="D101" s="16" t="n"/>
      <c r="E101" s="16" t="n"/>
      <c r="F101" s="21" t="n"/>
      <c r="G101" s="21" t="n"/>
      <c r="H101" s="15">
        <f>IF(F101="","",F101-N(G101))</f>
        <v/>
      </c>
      <c r="I101">
        <f>IF(OR(F101="",E101=""),"",MAX(0,Parametros!$B$1-E101))</f>
        <v/>
      </c>
      <c r="J101">
        <f>IF(OR(H101="",I101=""),"",IF(H101&lt;=0,"Pagada",IF(I101=0,"No vencida",IF(I101&lt;=30,"1-30",IF(I101&lt;=60,"31-60",IF(I101&lt;=90,"61-90",IF(I101&lt;=180,"91-180",IF(I101&lt;=360,"181-360","Más de 360"))))))))</f>
        <v/>
      </c>
      <c r="K101" s="14">
        <f>IF(OR(J101="",J101="Pagada"),"",VLOOKUP(J101,Parametros!$A$4:$B$10,2,FALSE))</f>
        <v/>
      </c>
      <c r="L101" s="15">
        <f>IF(K101="","",H101*K101)</f>
        <v/>
      </c>
    </row>
    <row r="102">
      <c r="A102" s="20" t="n"/>
      <c r="B102" s="20" t="n"/>
      <c r="C102" s="20" t="n"/>
      <c r="D102" s="16" t="n"/>
      <c r="E102" s="16" t="n"/>
      <c r="F102" s="21" t="n"/>
      <c r="G102" s="21" t="n"/>
      <c r="H102" s="15">
        <f>IF(F102="","",F102-N(G102))</f>
        <v/>
      </c>
      <c r="I102">
        <f>IF(OR(F102="",E102=""),"",MAX(0,Parametros!$B$1-E102))</f>
        <v/>
      </c>
      <c r="J102">
        <f>IF(OR(H102="",I102=""),"",IF(H102&lt;=0,"Pagada",IF(I102=0,"No vencida",IF(I102&lt;=30,"1-30",IF(I102&lt;=60,"31-60",IF(I102&lt;=90,"61-90",IF(I102&lt;=180,"91-180",IF(I102&lt;=360,"181-360","Más de 360"))))))))</f>
        <v/>
      </c>
      <c r="K102" s="14">
        <f>IF(OR(J102="",J102="Pagada"),"",VLOOKUP(J102,Parametros!$A$4:$B$10,2,FALSE))</f>
        <v/>
      </c>
      <c r="L102" s="15">
        <f>IF(K102="","",H102*K102)</f>
        <v/>
      </c>
    </row>
    <row r="103">
      <c r="A103" s="20" t="n"/>
      <c r="B103" s="20" t="n"/>
      <c r="C103" s="20" t="n"/>
      <c r="D103" s="16" t="n"/>
      <c r="E103" s="16" t="n"/>
      <c r="F103" s="21" t="n"/>
      <c r="G103" s="21" t="n"/>
      <c r="H103" s="15">
        <f>IF(F103="","",F103-N(G103))</f>
        <v/>
      </c>
      <c r="I103">
        <f>IF(OR(F103="",E103=""),"",MAX(0,Parametros!$B$1-E103))</f>
        <v/>
      </c>
      <c r="J103">
        <f>IF(OR(H103="",I103=""),"",IF(H103&lt;=0,"Pagada",IF(I103=0,"No vencida",IF(I103&lt;=30,"1-30",IF(I103&lt;=60,"31-60",IF(I103&lt;=90,"61-90",IF(I103&lt;=180,"91-180",IF(I103&lt;=360,"181-360","Más de 360"))))))))</f>
        <v/>
      </c>
      <c r="K103" s="14">
        <f>IF(OR(J103="",J103="Pagada"),"",VLOOKUP(J103,Parametros!$A$4:$B$10,2,FALSE))</f>
        <v/>
      </c>
      <c r="L103" s="15">
        <f>IF(K103="","",H103*K103)</f>
        <v/>
      </c>
    </row>
    <row r="104">
      <c r="A104" s="20" t="n"/>
      <c r="B104" s="20" t="n"/>
      <c r="C104" s="20" t="n"/>
      <c r="D104" s="16" t="n"/>
      <c r="E104" s="16" t="n"/>
      <c r="F104" s="21" t="n"/>
      <c r="G104" s="21" t="n"/>
      <c r="H104" s="15">
        <f>IF(F104="","",F104-N(G104))</f>
        <v/>
      </c>
      <c r="I104">
        <f>IF(OR(F104="",E104=""),"",MAX(0,Parametros!$B$1-E104))</f>
        <v/>
      </c>
      <c r="J104">
        <f>IF(OR(H104="",I104=""),"",IF(H104&lt;=0,"Pagada",IF(I104=0,"No vencida",IF(I104&lt;=30,"1-30",IF(I104&lt;=60,"31-60",IF(I104&lt;=90,"61-90",IF(I104&lt;=180,"91-180",IF(I104&lt;=360,"181-360","Más de 360"))))))))</f>
        <v/>
      </c>
      <c r="K104" s="14">
        <f>IF(OR(J104="",J104="Pagada"),"",VLOOKUP(J104,Parametros!$A$4:$B$10,2,FALSE))</f>
        <v/>
      </c>
      <c r="L104" s="15">
        <f>IF(K104="","",H104*K104)</f>
        <v/>
      </c>
    </row>
    <row r="105">
      <c r="A105" s="20" t="n"/>
      <c r="B105" s="20" t="n"/>
      <c r="C105" s="20" t="n"/>
      <c r="D105" s="16" t="n"/>
      <c r="E105" s="16" t="n"/>
      <c r="F105" s="21" t="n"/>
      <c r="G105" s="21" t="n"/>
      <c r="H105" s="15">
        <f>IF(F105="","",F105-N(G105))</f>
        <v/>
      </c>
      <c r="I105">
        <f>IF(OR(F105="",E105=""),"",MAX(0,Parametros!$B$1-E105))</f>
        <v/>
      </c>
      <c r="J105">
        <f>IF(OR(H105="",I105=""),"",IF(H105&lt;=0,"Pagada",IF(I105=0,"No vencida",IF(I105&lt;=30,"1-30",IF(I105&lt;=60,"31-60",IF(I105&lt;=90,"61-90",IF(I105&lt;=180,"91-180",IF(I105&lt;=360,"181-360","Más de 360"))))))))</f>
        <v/>
      </c>
      <c r="K105" s="14">
        <f>IF(OR(J105="",J105="Pagada"),"",VLOOKUP(J105,Parametros!$A$4:$B$10,2,FALSE))</f>
        <v/>
      </c>
      <c r="L105" s="15">
        <f>IF(K105="","",H105*K105)</f>
        <v/>
      </c>
    </row>
    <row r="106">
      <c r="A106" s="20" t="n"/>
      <c r="B106" s="20" t="n"/>
      <c r="C106" s="20" t="n"/>
      <c r="D106" s="16" t="n"/>
      <c r="E106" s="16" t="n"/>
      <c r="F106" s="21" t="n"/>
      <c r="G106" s="21" t="n"/>
      <c r="H106" s="15">
        <f>IF(F106="","",F106-N(G106))</f>
        <v/>
      </c>
      <c r="I106">
        <f>IF(OR(F106="",E106=""),"",MAX(0,Parametros!$B$1-E106))</f>
        <v/>
      </c>
      <c r="J106">
        <f>IF(OR(H106="",I106=""),"",IF(H106&lt;=0,"Pagada",IF(I106=0,"No vencida",IF(I106&lt;=30,"1-30",IF(I106&lt;=60,"31-60",IF(I106&lt;=90,"61-90",IF(I106&lt;=180,"91-180",IF(I106&lt;=360,"181-360","Más de 360"))))))))</f>
        <v/>
      </c>
      <c r="K106" s="14">
        <f>IF(OR(J106="",J106="Pagada"),"",VLOOKUP(J106,Parametros!$A$4:$B$10,2,FALSE))</f>
        <v/>
      </c>
      <c r="L106" s="15">
        <f>IF(K106="","",H106*K106)</f>
        <v/>
      </c>
    </row>
    <row r="107">
      <c r="A107" s="20" t="n"/>
      <c r="B107" s="20" t="n"/>
      <c r="C107" s="20" t="n"/>
      <c r="D107" s="16" t="n"/>
      <c r="E107" s="16" t="n"/>
      <c r="F107" s="21" t="n"/>
      <c r="G107" s="21" t="n"/>
      <c r="H107" s="15">
        <f>IF(F107="","",F107-N(G107))</f>
        <v/>
      </c>
      <c r="I107">
        <f>IF(OR(F107="",E107=""),"",MAX(0,Parametros!$B$1-E107))</f>
        <v/>
      </c>
      <c r="J107">
        <f>IF(OR(H107="",I107=""),"",IF(H107&lt;=0,"Pagada",IF(I107=0,"No vencida",IF(I107&lt;=30,"1-30",IF(I107&lt;=60,"31-60",IF(I107&lt;=90,"61-90",IF(I107&lt;=180,"91-180",IF(I107&lt;=360,"181-360","Más de 360"))))))))</f>
        <v/>
      </c>
      <c r="K107" s="14">
        <f>IF(OR(J107="",J107="Pagada"),"",VLOOKUP(J107,Parametros!$A$4:$B$10,2,FALSE))</f>
        <v/>
      </c>
      <c r="L107" s="15">
        <f>IF(K107="","",H107*K107)</f>
        <v/>
      </c>
    </row>
    <row r="108">
      <c r="A108" s="20" t="n"/>
      <c r="B108" s="20" t="n"/>
      <c r="C108" s="20" t="n"/>
      <c r="D108" s="16" t="n"/>
      <c r="E108" s="16" t="n"/>
      <c r="F108" s="21" t="n"/>
      <c r="G108" s="21" t="n"/>
      <c r="H108" s="15">
        <f>IF(F108="","",F108-N(G108))</f>
        <v/>
      </c>
      <c r="I108">
        <f>IF(OR(F108="",E108=""),"",MAX(0,Parametros!$B$1-E108))</f>
        <v/>
      </c>
      <c r="J108">
        <f>IF(OR(H108="",I108=""),"",IF(H108&lt;=0,"Pagada",IF(I108=0,"No vencida",IF(I108&lt;=30,"1-30",IF(I108&lt;=60,"31-60",IF(I108&lt;=90,"61-90",IF(I108&lt;=180,"91-180",IF(I108&lt;=360,"181-360","Más de 360"))))))))</f>
        <v/>
      </c>
      <c r="K108" s="14">
        <f>IF(OR(J108="",J108="Pagada"),"",VLOOKUP(J108,Parametros!$A$4:$B$10,2,FALSE))</f>
        <v/>
      </c>
      <c r="L108" s="15">
        <f>IF(K108="","",H108*K108)</f>
        <v/>
      </c>
    </row>
    <row r="109">
      <c r="A109" s="20" t="n"/>
      <c r="B109" s="20" t="n"/>
      <c r="C109" s="20" t="n"/>
      <c r="D109" s="16" t="n"/>
      <c r="E109" s="16" t="n"/>
      <c r="F109" s="21" t="n"/>
      <c r="G109" s="21" t="n"/>
      <c r="H109" s="15">
        <f>IF(F109="","",F109-N(G109))</f>
        <v/>
      </c>
      <c r="I109">
        <f>IF(OR(F109="",E109=""),"",MAX(0,Parametros!$B$1-E109))</f>
        <v/>
      </c>
      <c r="J109">
        <f>IF(OR(H109="",I109=""),"",IF(H109&lt;=0,"Pagada",IF(I109=0,"No vencida",IF(I109&lt;=30,"1-30",IF(I109&lt;=60,"31-60",IF(I109&lt;=90,"61-90",IF(I109&lt;=180,"91-180",IF(I109&lt;=360,"181-360","Más de 360"))))))))</f>
        <v/>
      </c>
      <c r="K109" s="14">
        <f>IF(OR(J109="",J109="Pagada"),"",VLOOKUP(J109,Parametros!$A$4:$B$10,2,FALSE))</f>
        <v/>
      </c>
      <c r="L109" s="15">
        <f>IF(K109="","",H109*K109)</f>
        <v/>
      </c>
    </row>
    <row r="110">
      <c r="A110" s="20" t="n"/>
      <c r="B110" s="20" t="n"/>
      <c r="C110" s="20" t="n"/>
      <c r="D110" s="16" t="n"/>
      <c r="E110" s="16" t="n"/>
      <c r="F110" s="21" t="n"/>
      <c r="G110" s="21" t="n"/>
      <c r="H110" s="15">
        <f>IF(F110="","",F110-N(G110))</f>
        <v/>
      </c>
      <c r="I110">
        <f>IF(OR(F110="",E110=""),"",MAX(0,Parametros!$B$1-E110))</f>
        <v/>
      </c>
      <c r="J110">
        <f>IF(OR(H110="",I110=""),"",IF(H110&lt;=0,"Pagada",IF(I110=0,"No vencida",IF(I110&lt;=30,"1-30",IF(I110&lt;=60,"31-60",IF(I110&lt;=90,"61-90",IF(I110&lt;=180,"91-180",IF(I110&lt;=360,"181-360","Más de 360"))))))))</f>
        <v/>
      </c>
      <c r="K110" s="14">
        <f>IF(OR(J110="",J110="Pagada"),"",VLOOKUP(J110,Parametros!$A$4:$B$10,2,FALSE))</f>
        <v/>
      </c>
      <c r="L110" s="15">
        <f>IF(K110="","",H110*K110)</f>
        <v/>
      </c>
    </row>
    <row r="111">
      <c r="A111" s="20" t="n"/>
      <c r="B111" s="20" t="n"/>
      <c r="C111" s="20" t="n"/>
      <c r="D111" s="16" t="n"/>
      <c r="E111" s="16" t="n"/>
      <c r="F111" s="21" t="n"/>
      <c r="G111" s="21" t="n"/>
      <c r="H111" s="15">
        <f>IF(F111="","",F111-N(G111))</f>
        <v/>
      </c>
      <c r="I111">
        <f>IF(OR(F111="",E111=""),"",MAX(0,Parametros!$B$1-E111))</f>
        <v/>
      </c>
      <c r="J111">
        <f>IF(OR(H111="",I111=""),"",IF(H111&lt;=0,"Pagada",IF(I111=0,"No vencida",IF(I111&lt;=30,"1-30",IF(I111&lt;=60,"31-60",IF(I111&lt;=90,"61-90",IF(I111&lt;=180,"91-180",IF(I111&lt;=360,"181-360","Más de 360"))))))))</f>
        <v/>
      </c>
      <c r="K111" s="14">
        <f>IF(OR(J111="",J111="Pagada"),"",VLOOKUP(J111,Parametros!$A$4:$B$10,2,FALSE))</f>
        <v/>
      </c>
      <c r="L111" s="15">
        <f>IF(K111="","",H111*K111)</f>
        <v/>
      </c>
    </row>
    <row r="112">
      <c r="A112" s="20" t="n"/>
      <c r="B112" s="20" t="n"/>
      <c r="C112" s="20" t="n"/>
      <c r="D112" s="16" t="n"/>
      <c r="E112" s="16" t="n"/>
      <c r="F112" s="21" t="n"/>
      <c r="G112" s="21" t="n"/>
      <c r="H112" s="15">
        <f>IF(F112="","",F112-N(G112))</f>
        <v/>
      </c>
      <c r="I112">
        <f>IF(OR(F112="",E112=""),"",MAX(0,Parametros!$B$1-E112))</f>
        <v/>
      </c>
      <c r="J112">
        <f>IF(OR(H112="",I112=""),"",IF(H112&lt;=0,"Pagada",IF(I112=0,"No vencida",IF(I112&lt;=30,"1-30",IF(I112&lt;=60,"31-60",IF(I112&lt;=90,"61-90",IF(I112&lt;=180,"91-180",IF(I112&lt;=360,"181-360","Más de 360"))))))))</f>
        <v/>
      </c>
      <c r="K112" s="14">
        <f>IF(OR(J112="",J112="Pagada"),"",VLOOKUP(J112,Parametros!$A$4:$B$10,2,FALSE))</f>
        <v/>
      </c>
      <c r="L112" s="15">
        <f>IF(K112="","",H112*K112)</f>
        <v/>
      </c>
    </row>
    <row r="113">
      <c r="A113" s="20" t="n"/>
      <c r="B113" s="20" t="n"/>
      <c r="C113" s="20" t="n"/>
      <c r="D113" s="16" t="n"/>
      <c r="E113" s="16" t="n"/>
      <c r="F113" s="21" t="n"/>
      <c r="G113" s="21" t="n"/>
      <c r="H113" s="15">
        <f>IF(F113="","",F113-N(G113))</f>
        <v/>
      </c>
      <c r="I113">
        <f>IF(OR(F113="",E113=""),"",MAX(0,Parametros!$B$1-E113))</f>
        <v/>
      </c>
      <c r="J113">
        <f>IF(OR(H113="",I113=""),"",IF(H113&lt;=0,"Pagada",IF(I113=0,"No vencida",IF(I113&lt;=30,"1-30",IF(I113&lt;=60,"31-60",IF(I113&lt;=90,"61-90",IF(I113&lt;=180,"91-180",IF(I113&lt;=360,"181-360","Más de 360"))))))))</f>
        <v/>
      </c>
      <c r="K113" s="14">
        <f>IF(OR(J113="",J113="Pagada"),"",VLOOKUP(J113,Parametros!$A$4:$B$10,2,FALSE))</f>
        <v/>
      </c>
      <c r="L113" s="15">
        <f>IF(K113="","",H113*K113)</f>
        <v/>
      </c>
    </row>
    <row r="114">
      <c r="A114" s="20" t="n"/>
      <c r="B114" s="20" t="n"/>
      <c r="C114" s="20" t="n"/>
      <c r="D114" s="16" t="n"/>
      <c r="E114" s="16" t="n"/>
      <c r="F114" s="21" t="n"/>
      <c r="G114" s="21" t="n"/>
      <c r="H114" s="15">
        <f>IF(F114="","",F114-N(G114))</f>
        <v/>
      </c>
      <c r="I114">
        <f>IF(OR(F114="",E114=""),"",MAX(0,Parametros!$B$1-E114))</f>
        <v/>
      </c>
      <c r="J114">
        <f>IF(OR(H114="",I114=""),"",IF(H114&lt;=0,"Pagada",IF(I114=0,"No vencida",IF(I114&lt;=30,"1-30",IF(I114&lt;=60,"31-60",IF(I114&lt;=90,"61-90",IF(I114&lt;=180,"91-180",IF(I114&lt;=360,"181-360","Más de 360"))))))))</f>
        <v/>
      </c>
      <c r="K114" s="14">
        <f>IF(OR(J114="",J114="Pagada"),"",VLOOKUP(J114,Parametros!$A$4:$B$10,2,FALSE))</f>
        <v/>
      </c>
      <c r="L114" s="15">
        <f>IF(K114="","",H114*K114)</f>
        <v/>
      </c>
    </row>
    <row r="115">
      <c r="A115" s="20" t="n"/>
      <c r="B115" s="20" t="n"/>
      <c r="C115" s="20" t="n"/>
      <c r="D115" s="16" t="n"/>
      <c r="E115" s="16" t="n"/>
      <c r="F115" s="21" t="n"/>
      <c r="G115" s="21" t="n"/>
      <c r="H115" s="15">
        <f>IF(F115="","",F115-N(G115))</f>
        <v/>
      </c>
      <c r="I115">
        <f>IF(OR(F115="",E115=""),"",MAX(0,Parametros!$B$1-E115))</f>
        <v/>
      </c>
      <c r="J115">
        <f>IF(OR(H115="",I115=""),"",IF(H115&lt;=0,"Pagada",IF(I115=0,"No vencida",IF(I115&lt;=30,"1-30",IF(I115&lt;=60,"31-60",IF(I115&lt;=90,"61-90",IF(I115&lt;=180,"91-180",IF(I115&lt;=360,"181-360","Más de 360"))))))))</f>
        <v/>
      </c>
      <c r="K115" s="14">
        <f>IF(OR(J115="",J115="Pagada"),"",VLOOKUP(J115,Parametros!$A$4:$B$10,2,FALSE))</f>
        <v/>
      </c>
      <c r="L115" s="15">
        <f>IF(K115="","",H115*K115)</f>
        <v/>
      </c>
    </row>
    <row r="116">
      <c r="A116" s="20" t="n"/>
      <c r="B116" s="20" t="n"/>
      <c r="C116" s="20" t="n"/>
      <c r="D116" s="16" t="n"/>
      <c r="E116" s="16" t="n"/>
      <c r="F116" s="21" t="n"/>
      <c r="G116" s="21" t="n"/>
      <c r="H116" s="15">
        <f>IF(F116="","",F116-N(G116))</f>
        <v/>
      </c>
      <c r="I116">
        <f>IF(OR(F116="",E116=""),"",MAX(0,Parametros!$B$1-E116))</f>
        <v/>
      </c>
      <c r="J116">
        <f>IF(OR(H116="",I116=""),"",IF(H116&lt;=0,"Pagada",IF(I116=0,"No vencida",IF(I116&lt;=30,"1-30",IF(I116&lt;=60,"31-60",IF(I116&lt;=90,"61-90",IF(I116&lt;=180,"91-180",IF(I116&lt;=360,"181-360","Más de 360"))))))))</f>
        <v/>
      </c>
      <c r="K116" s="14">
        <f>IF(OR(J116="",J116="Pagada"),"",VLOOKUP(J116,Parametros!$A$4:$B$10,2,FALSE))</f>
        <v/>
      </c>
      <c r="L116" s="15">
        <f>IF(K116="","",H116*K116)</f>
        <v/>
      </c>
    </row>
    <row r="117">
      <c r="A117" s="20" t="n"/>
      <c r="B117" s="20" t="n"/>
      <c r="C117" s="20" t="n"/>
      <c r="D117" s="16" t="n"/>
      <c r="E117" s="16" t="n"/>
      <c r="F117" s="21" t="n"/>
      <c r="G117" s="21" t="n"/>
      <c r="H117" s="15">
        <f>IF(F117="","",F117-N(G117))</f>
        <v/>
      </c>
      <c r="I117">
        <f>IF(OR(F117="",E117=""),"",MAX(0,Parametros!$B$1-E117))</f>
        <v/>
      </c>
      <c r="J117">
        <f>IF(OR(H117="",I117=""),"",IF(H117&lt;=0,"Pagada",IF(I117=0,"No vencida",IF(I117&lt;=30,"1-30",IF(I117&lt;=60,"31-60",IF(I117&lt;=90,"61-90",IF(I117&lt;=180,"91-180",IF(I117&lt;=360,"181-360","Más de 360"))))))))</f>
        <v/>
      </c>
      <c r="K117" s="14">
        <f>IF(OR(J117="",J117="Pagada"),"",VLOOKUP(J117,Parametros!$A$4:$B$10,2,FALSE))</f>
        <v/>
      </c>
      <c r="L117" s="15">
        <f>IF(K117="","",H117*K117)</f>
        <v/>
      </c>
    </row>
    <row r="118">
      <c r="A118" s="20" t="n"/>
      <c r="B118" s="20" t="n"/>
      <c r="C118" s="20" t="n"/>
      <c r="D118" s="16" t="n"/>
      <c r="E118" s="16" t="n"/>
      <c r="F118" s="21" t="n"/>
      <c r="G118" s="21" t="n"/>
      <c r="H118" s="15">
        <f>IF(F118="","",F118-N(G118))</f>
        <v/>
      </c>
      <c r="I118">
        <f>IF(OR(F118="",E118=""),"",MAX(0,Parametros!$B$1-E118))</f>
        <v/>
      </c>
      <c r="J118">
        <f>IF(OR(H118="",I118=""),"",IF(H118&lt;=0,"Pagada",IF(I118=0,"No vencida",IF(I118&lt;=30,"1-30",IF(I118&lt;=60,"31-60",IF(I118&lt;=90,"61-90",IF(I118&lt;=180,"91-180",IF(I118&lt;=360,"181-360","Más de 360"))))))))</f>
        <v/>
      </c>
      <c r="K118" s="14">
        <f>IF(OR(J118="",J118="Pagada"),"",VLOOKUP(J118,Parametros!$A$4:$B$10,2,FALSE))</f>
        <v/>
      </c>
      <c r="L118" s="15">
        <f>IF(K118="","",H118*K118)</f>
        <v/>
      </c>
    </row>
    <row r="119">
      <c r="A119" s="20" t="n"/>
      <c r="B119" s="20" t="n"/>
      <c r="C119" s="20" t="n"/>
      <c r="D119" s="16" t="n"/>
      <c r="E119" s="16" t="n"/>
      <c r="F119" s="21" t="n"/>
      <c r="G119" s="21" t="n"/>
      <c r="H119" s="15">
        <f>IF(F119="","",F119-N(G119))</f>
        <v/>
      </c>
      <c r="I119">
        <f>IF(OR(F119="",E119=""),"",MAX(0,Parametros!$B$1-E119))</f>
        <v/>
      </c>
      <c r="J119">
        <f>IF(OR(H119="",I119=""),"",IF(H119&lt;=0,"Pagada",IF(I119=0,"No vencida",IF(I119&lt;=30,"1-30",IF(I119&lt;=60,"31-60",IF(I119&lt;=90,"61-90",IF(I119&lt;=180,"91-180",IF(I119&lt;=360,"181-360","Más de 360"))))))))</f>
        <v/>
      </c>
      <c r="K119" s="14">
        <f>IF(OR(J119="",J119="Pagada"),"",VLOOKUP(J119,Parametros!$A$4:$B$10,2,FALSE))</f>
        <v/>
      </c>
      <c r="L119" s="15">
        <f>IF(K119="","",H119*K119)</f>
        <v/>
      </c>
    </row>
    <row r="120">
      <c r="A120" s="20" t="n"/>
      <c r="B120" s="20" t="n"/>
      <c r="C120" s="20" t="n"/>
      <c r="D120" s="16" t="n"/>
      <c r="E120" s="16" t="n"/>
      <c r="F120" s="21" t="n"/>
      <c r="G120" s="21" t="n"/>
      <c r="H120" s="15">
        <f>IF(F120="","",F120-N(G120))</f>
        <v/>
      </c>
      <c r="I120">
        <f>IF(OR(F120="",E120=""),"",MAX(0,Parametros!$B$1-E120))</f>
        <v/>
      </c>
      <c r="J120">
        <f>IF(OR(H120="",I120=""),"",IF(H120&lt;=0,"Pagada",IF(I120=0,"No vencida",IF(I120&lt;=30,"1-30",IF(I120&lt;=60,"31-60",IF(I120&lt;=90,"61-90",IF(I120&lt;=180,"91-180",IF(I120&lt;=360,"181-360","Más de 360"))))))))</f>
        <v/>
      </c>
      <c r="K120" s="14">
        <f>IF(OR(J120="",J120="Pagada"),"",VLOOKUP(J120,Parametros!$A$4:$B$10,2,FALSE))</f>
        <v/>
      </c>
      <c r="L120" s="15">
        <f>IF(K120="","",H120*K120)</f>
        <v/>
      </c>
    </row>
    <row r="121">
      <c r="A121" s="20" t="n"/>
      <c r="B121" s="20" t="n"/>
      <c r="C121" s="20" t="n"/>
      <c r="D121" s="16" t="n"/>
      <c r="E121" s="16" t="n"/>
      <c r="F121" s="21" t="n"/>
      <c r="G121" s="21" t="n"/>
      <c r="H121" s="15">
        <f>IF(F121="","",F121-N(G121))</f>
        <v/>
      </c>
      <c r="I121">
        <f>IF(OR(F121="",E121=""),"",MAX(0,Parametros!$B$1-E121))</f>
        <v/>
      </c>
      <c r="J121">
        <f>IF(OR(H121="",I121=""),"",IF(H121&lt;=0,"Pagada",IF(I121=0,"No vencida",IF(I121&lt;=30,"1-30",IF(I121&lt;=60,"31-60",IF(I121&lt;=90,"61-90",IF(I121&lt;=180,"91-180",IF(I121&lt;=360,"181-360","Más de 360"))))))))</f>
        <v/>
      </c>
      <c r="K121" s="14">
        <f>IF(OR(J121="",J121="Pagada"),"",VLOOKUP(J121,Parametros!$A$4:$B$10,2,FALSE))</f>
        <v/>
      </c>
      <c r="L121" s="15">
        <f>IF(K121="","",H121*K121)</f>
        <v/>
      </c>
    </row>
    <row r="122">
      <c r="A122" s="20" t="n"/>
      <c r="B122" s="20" t="n"/>
      <c r="C122" s="20" t="n"/>
      <c r="D122" s="16" t="n"/>
      <c r="E122" s="16" t="n"/>
      <c r="F122" s="21" t="n"/>
      <c r="G122" s="21" t="n"/>
      <c r="H122" s="15">
        <f>IF(F122="","",F122-N(G122))</f>
        <v/>
      </c>
      <c r="I122">
        <f>IF(OR(F122="",E122=""),"",MAX(0,Parametros!$B$1-E122))</f>
        <v/>
      </c>
      <c r="J122">
        <f>IF(OR(H122="",I122=""),"",IF(H122&lt;=0,"Pagada",IF(I122=0,"No vencida",IF(I122&lt;=30,"1-30",IF(I122&lt;=60,"31-60",IF(I122&lt;=90,"61-90",IF(I122&lt;=180,"91-180",IF(I122&lt;=360,"181-360","Más de 360"))))))))</f>
        <v/>
      </c>
      <c r="K122" s="14">
        <f>IF(OR(J122="",J122="Pagada"),"",VLOOKUP(J122,Parametros!$A$4:$B$10,2,FALSE))</f>
        <v/>
      </c>
      <c r="L122" s="15">
        <f>IF(K122="","",H122*K122)</f>
        <v/>
      </c>
    </row>
    <row r="123">
      <c r="A123" s="20" t="n"/>
      <c r="B123" s="20" t="n"/>
      <c r="C123" s="20" t="n"/>
      <c r="D123" s="16" t="n"/>
      <c r="E123" s="16" t="n"/>
      <c r="F123" s="21" t="n"/>
      <c r="G123" s="21" t="n"/>
      <c r="H123" s="15">
        <f>IF(F123="","",F123-N(G123))</f>
        <v/>
      </c>
      <c r="I123">
        <f>IF(OR(F123="",E123=""),"",MAX(0,Parametros!$B$1-E123))</f>
        <v/>
      </c>
      <c r="J123">
        <f>IF(OR(H123="",I123=""),"",IF(H123&lt;=0,"Pagada",IF(I123=0,"No vencida",IF(I123&lt;=30,"1-30",IF(I123&lt;=60,"31-60",IF(I123&lt;=90,"61-90",IF(I123&lt;=180,"91-180",IF(I123&lt;=360,"181-360","Más de 360"))))))))</f>
        <v/>
      </c>
      <c r="K123" s="14">
        <f>IF(OR(J123="",J123="Pagada"),"",VLOOKUP(J123,Parametros!$A$4:$B$10,2,FALSE))</f>
        <v/>
      </c>
      <c r="L123" s="15">
        <f>IF(K123="","",H123*K123)</f>
        <v/>
      </c>
    </row>
    <row r="124">
      <c r="A124" s="20" t="n"/>
      <c r="B124" s="20" t="n"/>
      <c r="C124" s="20" t="n"/>
      <c r="D124" s="16" t="n"/>
      <c r="E124" s="16" t="n"/>
      <c r="F124" s="21" t="n"/>
      <c r="G124" s="21" t="n"/>
      <c r="H124" s="15">
        <f>IF(F124="","",F124-N(G124))</f>
        <v/>
      </c>
      <c r="I124">
        <f>IF(OR(F124="",E124=""),"",MAX(0,Parametros!$B$1-E124))</f>
        <v/>
      </c>
      <c r="J124">
        <f>IF(OR(H124="",I124=""),"",IF(H124&lt;=0,"Pagada",IF(I124=0,"No vencida",IF(I124&lt;=30,"1-30",IF(I124&lt;=60,"31-60",IF(I124&lt;=90,"61-90",IF(I124&lt;=180,"91-180",IF(I124&lt;=360,"181-360","Más de 360"))))))))</f>
        <v/>
      </c>
      <c r="K124" s="14">
        <f>IF(OR(J124="",J124="Pagada"),"",VLOOKUP(J124,Parametros!$A$4:$B$10,2,FALSE))</f>
        <v/>
      </c>
      <c r="L124" s="15">
        <f>IF(K124="","",H124*K124)</f>
        <v/>
      </c>
    </row>
    <row r="125">
      <c r="A125" s="20" t="n"/>
      <c r="B125" s="20" t="n"/>
      <c r="C125" s="20" t="n"/>
      <c r="D125" s="16" t="n"/>
      <c r="E125" s="16" t="n"/>
      <c r="F125" s="21" t="n"/>
      <c r="G125" s="21" t="n"/>
      <c r="H125" s="15">
        <f>IF(F125="","",F125-N(G125))</f>
        <v/>
      </c>
      <c r="I125">
        <f>IF(OR(F125="",E125=""),"",MAX(0,Parametros!$B$1-E125))</f>
        <v/>
      </c>
      <c r="J125">
        <f>IF(OR(H125="",I125=""),"",IF(H125&lt;=0,"Pagada",IF(I125=0,"No vencida",IF(I125&lt;=30,"1-30",IF(I125&lt;=60,"31-60",IF(I125&lt;=90,"61-90",IF(I125&lt;=180,"91-180",IF(I125&lt;=360,"181-360","Más de 360"))))))))</f>
        <v/>
      </c>
      <c r="K125" s="14">
        <f>IF(OR(J125="",J125="Pagada"),"",VLOOKUP(J125,Parametros!$A$4:$B$10,2,FALSE))</f>
        <v/>
      </c>
      <c r="L125" s="15">
        <f>IF(K125="","",H125*K125)</f>
        <v/>
      </c>
    </row>
    <row r="126">
      <c r="A126" s="20" t="n"/>
      <c r="B126" s="20" t="n"/>
      <c r="C126" s="20" t="n"/>
      <c r="D126" s="16" t="n"/>
      <c r="E126" s="16" t="n"/>
      <c r="F126" s="21" t="n"/>
      <c r="G126" s="21" t="n"/>
      <c r="H126" s="15">
        <f>IF(F126="","",F126-N(G126))</f>
        <v/>
      </c>
      <c r="I126">
        <f>IF(OR(F126="",E126=""),"",MAX(0,Parametros!$B$1-E126))</f>
        <v/>
      </c>
      <c r="J126">
        <f>IF(OR(H126="",I126=""),"",IF(H126&lt;=0,"Pagada",IF(I126=0,"No vencida",IF(I126&lt;=30,"1-30",IF(I126&lt;=60,"31-60",IF(I126&lt;=90,"61-90",IF(I126&lt;=180,"91-180",IF(I126&lt;=360,"181-360","Más de 360"))))))))</f>
        <v/>
      </c>
      <c r="K126" s="14">
        <f>IF(OR(J126="",J126="Pagada"),"",VLOOKUP(J126,Parametros!$A$4:$B$10,2,FALSE))</f>
        <v/>
      </c>
      <c r="L126" s="15">
        <f>IF(K126="","",H126*K126)</f>
        <v/>
      </c>
    </row>
    <row r="127">
      <c r="A127" s="20" t="n"/>
      <c r="B127" s="20" t="n"/>
      <c r="C127" s="20" t="n"/>
      <c r="D127" s="16" t="n"/>
      <c r="E127" s="16" t="n"/>
      <c r="F127" s="21" t="n"/>
      <c r="G127" s="21" t="n"/>
      <c r="H127" s="15">
        <f>IF(F127="","",F127-N(G127))</f>
        <v/>
      </c>
      <c r="I127">
        <f>IF(OR(F127="",E127=""),"",MAX(0,Parametros!$B$1-E127))</f>
        <v/>
      </c>
      <c r="J127">
        <f>IF(OR(H127="",I127=""),"",IF(H127&lt;=0,"Pagada",IF(I127=0,"No vencida",IF(I127&lt;=30,"1-30",IF(I127&lt;=60,"31-60",IF(I127&lt;=90,"61-90",IF(I127&lt;=180,"91-180",IF(I127&lt;=360,"181-360","Más de 360"))))))))</f>
        <v/>
      </c>
      <c r="K127" s="14">
        <f>IF(OR(J127="",J127="Pagada"),"",VLOOKUP(J127,Parametros!$A$4:$B$10,2,FALSE))</f>
        <v/>
      </c>
      <c r="L127" s="15">
        <f>IF(K127="","",H127*K127)</f>
        <v/>
      </c>
    </row>
    <row r="128">
      <c r="A128" s="20" t="n"/>
      <c r="B128" s="20" t="n"/>
      <c r="C128" s="20" t="n"/>
      <c r="D128" s="16" t="n"/>
      <c r="E128" s="16" t="n"/>
      <c r="F128" s="21" t="n"/>
      <c r="G128" s="21" t="n"/>
      <c r="H128" s="15">
        <f>IF(F128="","",F128-N(G128))</f>
        <v/>
      </c>
      <c r="I128">
        <f>IF(OR(F128="",E128=""),"",MAX(0,Parametros!$B$1-E128))</f>
        <v/>
      </c>
      <c r="J128">
        <f>IF(OR(H128="",I128=""),"",IF(H128&lt;=0,"Pagada",IF(I128=0,"No vencida",IF(I128&lt;=30,"1-30",IF(I128&lt;=60,"31-60",IF(I128&lt;=90,"61-90",IF(I128&lt;=180,"91-180",IF(I128&lt;=360,"181-360","Más de 360"))))))))</f>
        <v/>
      </c>
      <c r="K128" s="14">
        <f>IF(OR(J128="",J128="Pagada"),"",VLOOKUP(J128,Parametros!$A$4:$B$10,2,FALSE))</f>
        <v/>
      </c>
      <c r="L128" s="15">
        <f>IF(K128="","",H128*K128)</f>
        <v/>
      </c>
    </row>
    <row r="129">
      <c r="A129" s="20" t="n"/>
      <c r="B129" s="20" t="n"/>
      <c r="C129" s="20" t="n"/>
      <c r="D129" s="16" t="n"/>
      <c r="E129" s="16" t="n"/>
      <c r="F129" s="21" t="n"/>
      <c r="G129" s="21" t="n"/>
      <c r="H129" s="15">
        <f>IF(F129="","",F129-N(G129))</f>
        <v/>
      </c>
      <c r="I129">
        <f>IF(OR(F129="",E129=""),"",MAX(0,Parametros!$B$1-E129))</f>
        <v/>
      </c>
      <c r="J129">
        <f>IF(OR(H129="",I129=""),"",IF(H129&lt;=0,"Pagada",IF(I129=0,"No vencida",IF(I129&lt;=30,"1-30",IF(I129&lt;=60,"31-60",IF(I129&lt;=90,"61-90",IF(I129&lt;=180,"91-180",IF(I129&lt;=360,"181-360","Más de 360"))))))))</f>
        <v/>
      </c>
      <c r="K129" s="14">
        <f>IF(OR(J129="",J129="Pagada"),"",VLOOKUP(J129,Parametros!$A$4:$B$10,2,FALSE))</f>
        <v/>
      </c>
      <c r="L129" s="15">
        <f>IF(K129="","",H129*K129)</f>
        <v/>
      </c>
    </row>
    <row r="130">
      <c r="A130" s="20" t="n"/>
      <c r="B130" s="20" t="n"/>
      <c r="C130" s="20" t="n"/>
      <c r="D130" s="16" t="n"/>
      <c r="E130" s="16" t="n"/>
      <c r="F130" s="21" t="n"/>
      <c r="G130" s="21" t="n"/>
      <c r="H130" s="15">
        <f>IF(F130="","",F130-N(G130))</f>
        <v/>
      </c>
      <c r="I130">
        <f>IF(OR(F130="",E130=""),"",MAX(0,Parametros!$B$1-E130))</f>
        <v/>
      </c>
      <c r="J130">
        <f>IF(OR(H130="",I130=""),"",IF(H130&lt;=0,"Pagada",IF(I130=0,"No vencida",IF(I130&lt;=30,"1-30",IF(I130&lt;=60,"31-60",IF(I130&lt;=90,"61-90",IF(I130&lt;=180,"91-180",IF(I130&lt;=360,"181-360","Más de 360"))))))))</f>
        <v/>
      </c>
      <c r="K130" s="14">
        <f>IF(OR(J130="",J130="Pagada"),"",VLOOKUP(J130,Parametros!$A$4:$B$10,2,FALSE))</f>
        <v/>
      </c>
      <c r="L130" s="15">
        <f>IF(K130="","",H130*K130)</f>
        <v/>
      </c>
    </row>
    <row r="131">
      <c r="A131" s="20" t="n"/>
      <c r="B131" s="20" t="n"/>
      <c r="C131" s="20" t="n"/>
      <c r="D131" s="16" t="n"/>
      <c r="E131" s="16" t="n"/>
      <c r="F131" s="21" t="n"/>
      <c r="G131" s="21" t="n"/>
      <c r="H131" s="15">
        <f>IF(F131="","",F131-N(G131))</f>
        <v/>
      </c>
      <c r="I131">
        <f>IF(OR(F131="",E131=""),"",MAX(0,Parametros!$B$1-E131))</f>
        <v/>
      </c>
      <c r="J131">
        <f>IF(OR(H131="",I131=""),"",IF(H131&lt;=0,"Pagada",IF(I131=0,"No vencida",IF(I131&lt;=30,"1-30",IF(I131&lt;=60,"31-60",IF(I131&lt;=90,"61-90",IF(I131&lt;=180,"91-180",IF(I131&lt;=360,"181-360","Más de 360"))))))))</f>
        <v/>
      </c>
      <c r="K131" s="14">
        <f>IF(OR(J131="",J131="Pagada"),"",VLOOKUP(J131,Parametros!$A$4:$B$10,2,FALSE))</f>
        <v/>
      </c>
      <c r="L131" s="15">
        <f>IF(K131="","",H131*K131)</f>
        <v/>
      </c>
    </row>
    <row r="132">
      <c r="A132" s="20" t="n"/>
      <c r="B132" s="20" t="n"/>
      <c r="C132" s="20" t="n"/>
      <c r="D132" s="16" t="n"/>
      <c r="E132" s="16" t="n"/>
      <c r="F132" s="21" t="n"/>
      <c r="G132" s="21" t="n"/>
      <c r="H132" s="15">
        <f>IF(F132="","",F132-N(G132))</f>
        <v/>
      </c>
      <c r="I132">
        <f>IF(OR(F132="",E132=""),"",MAX(0,Parametros!$B$1-E132))</f>
        <v/>
      </c>
      <c r="J132">
        <f>IF(OR(H132="",I132=""),"",IF(H132&lt;=0,"Pagada",IF(I132=0,"No vencida",IF(I132&lt;=30,"1-30",IF(I132&lt;=60,"31-60",IF(I132&lt;=90,"61-90",IF(I132&lt;=180,"91-180",IF(I132&lt;=360,"181-360","Más de 360"))))))))</f>
        <v/>
      </c>
      <c r="K132" s="14">
        <f>IF(OR(J132="",J132="Pagada"),"",VLOOKUP(J132,Parametros!$A$4:$B$10,2,FALSE))</f>
        <v/>
      </c>
      <c r="L132" s="15">
        <f>IF(K132="","",H132*K132)</f>
        <v/>
      </c>
    </row>
    <row r="133">
      <c r="A133" s="20" t="n"/>
      <c r="B133" s="20" t="n"/>
      <c r="C133" s="20" t="n"/>
      <c r="D133" s="16" t="n"/>
      <c r="E133" s="16" t="n"/>
      <c r="F133" s="21" t="n"/>
      <c r="G133" s="21" t="n"/>
      <c r="H133" s="15">
        <f>IF(F133="","",F133-N(G133))</f>
        <v/>
      </c>
      <c r="I133">
        <f>IF(OR(F133="",E133=""),"",MAX(0,Parametros!$B$1-E133))</f>
        <v/>
      </c>
      <c r="J133">
        <f>IF(OR(H133="",I133=""),"",IF(H133&lt;=0,"Pagada",IF(I133=0,"No vencida",IF(I133&lt;=30,"1-30",IF(I133&lt;=60,"31-60",IF(I133&lt;=90,"61-90",IF(I133&lt;=180,"91-180",IF(I133&lt;=360,"181-360","Más de 360"))))))))</f>
        <v/>
      </c>
      <c r="K133" s="14">
        <f>IF(OR(J133="",J133="Pagada"),"",VLOOKUP(J133,Parametros!$A$4:$B$10,2,FALSE))</f>
        <v/>
      </c>
      <c r="L133" s="15">
        <f>IF(K133="","",H133*K133)</f>
        <v/>
      </c>
    </row>
    <row r="134">
      <c r="A134" s="20" t="n"/>
      <c r="B134" s="20" t="n"/>
      <c r="C134" s="20" t="n"/>
      <c r="D134" s="16" t="n"/>
      <c r="E134" s="16" t="n"/>
      <c r="F134" s="21" t="n"/>
      <c r="G134" s="21" t="n"/>
      <c r="H134" s="15">
        <f>IF(F134="","",F134-N(G134))</f>
        <v/>
      </c>
      <c r="I134">
        <f>IF(OR(F134="",E134=""),"",MAX(0,Parametros!$B$1-E134))</f>
        <v/>
      </c>
      <c r="J134">
        <f>IF(OR(H134="",I134=""),"",IF(H134&lt;=0,"Pagada",IF(I134=0,"No vencida",IF(I134&lt;=30,"1-30",IF(I134&lt;=60,"31-60",IF(I134&lt;=90,"61-90",IF(I134&lt;=180,"91-180",IF(I134&lt;=360,"181-360","Más de 360"))))))))</f>
        <v/>
      </c>
      <c r="K134" s="14">
        <f>IF(OR(J134="",J134="Pagada"),"",VLOOKUP(J134,Parametros!$A$4:$B$10,2,FALSE))</f>
        <v/>
      </c>
      <c r="L134" s="15">
        <f>IF(K134="","",H134*K134)</f>
        <v/>
      </c>
    </row>
    <row r="135">
      <c r="A135" s="20" t="n"/>
      <c r="B135" s="20" t="n"/>
      <c r="C135" s="20" t="n"/>
      <c r="D135" s="16" t="n"/>
      <c r="E135" s="16" t="n"/>
      <c r="F135" s="21" t="n"/>
      <c r="G135" s="21" t="n"/>
      <c r="H135" s="15">
        <f>IF(F135="","",F135-N(G135))</f>
        <v/>
      </c>
      <c r="I135">
        <f>IF(OR(F135="",E135=""),"",MAX(0,Parametros!$B$1-E135))</f>
        <v/>
      </c>
      <c r="J135">
        <f>IF(OR(H135="",I135=""),"",IF(H135&lt;=0,"Pagada",IF(I135=0,"No vencida",IF(I135&lt;=30,"1-30",IF(I135&lt;=60,"31-60",IF(I135&lt;=90,"61-90",IF(I135&lt;=180,"91-180",IF(I135&lt;=360,"181-360","Más de 360"))))))))</f>
        <v/>
      </c>
      <c r="K135" s="14">
        <f>IF(OR(J135="",J135="Pagada"),"",VLOOKUP(J135,Parametros!$A$4:$B$10,2,FALSE))</f>
        <v/>
      </c>
      <c r="L135" s="15">
        <f>IF(K135="","",H135*K135)</f>
        <v/>
      </c>
    </row>
    <row r="136">
      <c r="A136" s="20" t="n"/>
      <c r="B136" s="20" t="n"/>
      <c r="C136" s="20" t="n"/>
      <c r="D136" s="16" t="n"/>
      <c r="E136" s="16" t="n"/>
      <c r="F136" s="21" t="n"/>
      <c r="G136" s="21" t="n"/>
      <c r="H136" s="15">
        <f>IF(F136="","",F136-N(G136))</f>
        <v/>
      </c>
      <c r="I136">
        <f>IF(OR(F136="",E136=""),"",MAX(0,Parametros!$B$1-E136))</f>
        <v/>
      </c>
      <c r="J136">
        <f>IF(OR(H136="",I136=""),"",IF(H136&lt;=0,"Pagada",IF(I136=0,"No vencida",IF(I136&lt;=30,"1-30",IF(I136&lt;=60,"31-60",IF(I136&lt;=90,"61-90",IF(I136&lt;=180,"91-180",IF(I136&lt;=360,"181-360","Más de 360"))))))))</f>
        <v/>
      </c>
      <c r="K136" s="14">
        <f>IF(OR(J136="",J136="Pagada"),"",VLOOKUP(J136,Parametros!$A$4:$B$10,2,FALSE))</f>
        <v/>
      </c>
      <c r="L136" s="15">
        <f>IF(K136="","",H136*K136)</f>
        <v/>
      </c>
    </row>
    <row r="137">
      <c r="A137" s="20" t="n"/>
      <c r="B137" s="20" t="n"/>
      <c r="C137" s="20" t="n"/>
      <c r="D137" s="16" t="n"/>
      <c r="E137" s="16" t="n"/>
      <c r="F137" s="21" t="n"/>
      <c r="G137" s="21" t="n"/>
      <c r="H137" s="15">
        <f>IF(F137="","",F137-N(G137))</f>
        <v/>
      </c>
      <c r="I137">
        <f>IF(OR(F137="",E137=""),"",MAX(0,Parametros!$B$1-E137))</f>
        <v/>
      </c>
      <c r="J137">
        <f>IF(OR(H137="",I137=""),"",IF(H137&lt;=0,"Pagada",IF(I137=0,"No vencida",IF(I137&lt;=30,"1-30",IF(I137&lt;=60,"31-60",IF(I137&lt;=90,"61-90",IF(I137&lt;=180,"91-180",IF(I137&lt;=360,"181-360","Más de 360"))))))))</f>
        <v/>
      </c>
      <c r="K137" s="14">
        <f>IF(OR(J137="",J137="Pagada"),"",VLOOKUP(J137,Parametros!$A$4:$B$10,2,FALSE))</f>
        <v/>
      </c>
      <c r="L137" s="15">
        <f>IF(K137="","",H137*K137)</f>
        <v/>
      </c>
    </row>
    <row r="138">
      <c r="A138" s="20" t="n"/>
      <c r="B138" s="20" t="n"/>
      <c r="C138" s="20" t="n"/>
      <c r="D138" s="16" t="n"/>
      <c r="E138" s="16" t="n"/>
      <c r="F138" s="21" t="n"/>
      <c r="G138" s="21" t="n"/>
      <c r="H138" s="15">
        <f>IF(F138="","",F138-N(G138))</f>
        <v/>
      </c>
      <c r="I138">
        <f>IF(OR(F138="",E138=""),"",MAX(0,Parametros!$B$1-E138))</f>
        <v/>
      </c>
      <c r="J138">
        <f>IF(OR(H138="",I138=""),"",IF(H138&lt;=0,"Pagada",IF(I138=0,"No vencida",IF(I138&lt;=30,"1-30",IF(I138&lt;=60,"31-60",IF(I138&lt;=90,"61-90",IF(I138&lt;=180,"91-180",IF(I138&lt;=360,"181-360","Más de 360"))))))))</f>
        <v/>
      </c>
      <c r="K138" s="14">
        <f>IF(OR(J138="",J138="Pagada"),"",VLOOKUP(J138,Parametros!$A$4:$B$10,2,FALSE))</f>
        <v/>
      </c>
      <c r="L138" s="15">
        <f>IF(K138="","",H138*K138)</f>
        <v/>
      </c>
    </row>
    <row r="139">
      <c r="A139" s="20" t="n"/>
      <c r="B139" s="20" t="n"/>
      <c r="C139" s="20" t="n"/>
      <c r="D139" s="16" t="n"/>
      <c r="E139" s="16" t="n"/>
      <c r="F139" s="21" t="n"/>
      <c r="G139" s="21" t="n"/>
      <c r="H139" s="15">
        <f>IF(F139="","",F139-N(G139))</f>
        <v/>
      </c>
      <c r="I139">
        <f>IF(OR(F139="",E139=""),"",MAX(0,Parametros!$B$1-E139))</f>
        <v/>
      </c>
      <c r="J139">
        <f>IF(OR(H139="",I139=""),"",IF(H139&lt;=0,"Pagada",IF(I139=0,"No vencida",IF(I139&lt;=30,"1-30",IF(I139&lt;=60,"31-60",IF(I139&lt;=90,"61-90",IF(I139&lt;=180,"91-180",IF(I139&lt;=360,"181-360","Más de 360"))))))))</f>
        <v/>
      </c>
      <c r="K139" s="14">
        <f>IF(OR(J139="",J139="Pagada"),"",VLOOKUP(J139,Parametros!$A$4:$B$10,2,FALSE))</f>
        <v/>
      </c>
      <c r="L139" s="15">
        <f>IF(K139="","",H139*K139)</f>
        <v/>
      </c>
    </row>
    <row r="140">
      <c r="A140" s="20" t="n"/>
      <c r="B140" s="20" t="n"/>
      <c r="C140" s="20" t="n"/>
      <c r="D140" s="16" t="n"/>
      <c r="E140" s="16" t="n"/>
      <c r="F140" s="21" t="n"/>
      <c r="G140" s="21" t="n"/>
      <c r="H140" s="15">
        <f>IF(F140="","",F140-N(G140))</f>
        <v/>
      </c>
      <c r="I140">
        <f>IF(OR(F140="",E140=""),"",MAX(0,Parametros!$B$1-E140))</f>
        <v/>
      </c>
      <c r="J140">
        <f>IF(OR(H140="",I140=""),"",IF(H140&lt;=0,"Pagada",IF(I140=0,"No vencida",IF(I140&lt;=30,"1-30",IF(I140&lt;=60,"31-60",IF(I140&lt;=90,"61-90",IF(I140&lt;=180,"91-180",IF(I140&lt;=360,"181-360","Más de 360"))))))))</f>
        <v/>
      </c>
      <c r="K140" s="14">
        <f>IF(OR(J140="",J140="Pagada"),"",VLOOKUP(J140,Parametros!$A$4:$B$10,2,FALSE))</f>
        <v/>
      </c>
      <c r="L140" s="15">
        <f>IF(K140="","",H140*K140)</f>
        <v/>
      </c>
    </row>
    <row r="141">
      <c r="A141" s="20" t="n"/>
      <c r="B141" s="20" t="n"/>
      <c r="C141" s="20" t="n"/>
      <c r="D141" s="16" t="n"/>
      <c r="E141" s="16" t="n"/>
      <c r="F141" s="21" t="n"/>
      <c r="G141" s="21" t="n"/>
      <c r="H141" s="15">
        <f>IF(F141="","",F141-N(G141))</f>
        <v/>
      </c>
      <c r="I141">
        <f>IF(OR(F141="",E141=""),"",MAX(0,Parametros!$B$1-E141))</f>
        <v/>
      </c>
      <c r="J141">
        <f>IF(OR(H141="",I141=""),"",IF(H141&lt;=0,"Pagada",IF(I141=0,"No vencida",IF(I141&lt;=30,"1-30",IF(I141&lt;=60,"31-60",IF(I141&lt;=90,"61-90",IF(I141&lt;=180,"91-180",IF(I141&lt;=360,"181-360","Más de 360"))))))))</f>
        <v/>
      </c>
      <c r="K141" s="14">
        <f>IF(OR(J141="",J141="Pagada"),"",VLOOKUP(J141,Parametros!$A$4:$B$10,2,FALSE))</f>
        <v/>
      </c>
      <c r="L141" s="15">
        <f>IF(K141="","",H141*K141)</f>
        <v/>
      </c>
    </row>
    <row r="142">
      <c r="A142" s="20" t="n"/>
      <c r="B142" s="20" t="n"/>
      <c r="C142" s="20" t="n"/>
      <c r="D142" s="16" t="n"/>
      <c r="E142" s="16" t="n"/>
      <c r="F142" s="21" t="n"/>
      <c r="G142" s="21" t="n"/>
      <c r="H142" s="15">
        <f>IF(F142="","",F142-N(G142))</f>
        <v/>
      </c>
      <c r="I142">
        <f>IF(OR(F142="",E142=""),"",MAX(0,Parametros!$B$1-E142))</f>
        <v/>
      </c>
      <c r="J142">
        <f>IF(OR(H142="",I142=""),"",IF(H142&lt;=0,"Pagada",IF(I142=0,"No vencida",IF(I142&lt;=30,"1-30",IF(I142&lt;=60,"31-60",IF(I142&lt;=90,"61-90",IF(I142&lt;=180,"91-180",IF(I142&lt;=360,"181-360","Más de 360"))))))))</f>
        <v/>
      </c>
      <c r="K142" s="14">
        <f>IF(OR(J142="",J142="Pagada"),"",VLOOKUP(J142,Parametros!$A$4:$B$10,2,FALSE))</f>
        <v/>
      </c>
      <c r="L142" s="15">
        <f>IF(K142="","",H142*K142)</f>
        <v/>
      </c>
    </row>
    <row r="143">
      <c r="A143" s="20" t="n"/>
      <c r="B143" s="20" t="n"/>
      <c r="C143" s="20" t="n"/>
      <c r="D143" s="16" t="n"/>
      <c r="E143" s="16" t="n"/>
      <c r="F143" s="21" t="n"/>
      <c r="G143" s="21" t="n"/>
      <c r="H143" s="15">
        <f>IF(F143="","",F143-N(G143))</f>
        <v/>
      </c>
      <c r="I143">
        <f>IF(OR(F143="",E143=""),"",MAX(0,Parametros!$B$1-E143))</f>
        <v/>
      </c>
      <c r="J143">
        <f>IF(OR(H143="",I143=""),"",IF(H143&lt;=0,"Pagada",IF(I143=0,"No vencida",IF(I143&lt;=30,"1-30",IF(I143&lt;=60,"31-60",IF(I143&lt;=90,"61-90",IF(I143&lt;=180,"91-180",IF(I143&lt;=360,"181-360","Más de 360"))))))))</f>
        <v/>
      </c>
      <c r="K143" s="14">
        <f>IF(OR(J143="",J143="Pagada"),"",VLOOKUP(J143,Parametros!$A$4:$B$10,2,FALSE))</f>
        <v/>
      </c>
      <c r="L143" s="15">
        <f>IF(K143="","",H143*K143)</f>
        <v/>
      </c>
    </row>
    <row r="144">
      <c r="A144" s="20" t="n"/>
      <c r="B144" s="20" t="n"/>
      <c r="C144" s="20" t="n"/>
      <c r="D144" s="16" t="n"/>
      <c r="E144" s="16" t="n"/>
      <c r="F144" s="21" t="n"/>
      <c r="G144" s="21" t="n"/>
      <c r="H144" s="15">
        <f>IF(F144="","",F144-N(G144))</f>
        <v/>
      </c>
      <c r="I144">
        <f>IF(OR(F144="",E144=""),"",MAX(0,Parametros!$B$1-E144))</f>
        <v/>
      </c>
      <c r="J144">
        <f>IF(OR(H144="",I144=""),"",IF(H144&lt;=0,"Pagada",IF(I144=0,"No vencida",IF(I144&lt;=30,"1-30",IF(I144&lt;=60,"31-60",IF(I144&lt;=90,"61-90",IF(I144&lt;=180,"91-180",IF(I144&lt;=360,"181-360","Más de 360"))))))))</f>
        <v/>
      </c>
      <c r="K144" s="14">
        <f>IF(OR(J144="",J144="Pagada"),"",VLOOKUP(J144,Parametros!$A$4:$B$10,2,FALSE))</f>
        <v/>
      </c>
      <c r="L144" s="15">
        <f>IF(K144="","",H144*K144)</f>
        <v/>
      </c>
    </row>
    <row r="145">
      <c r="A145" s="20" t="n"/>
      <c r="B145" s="20" t="n"/>
      <c r="C145" s="20" t="n"/>
      <c r="D145" s="16" t="n"/>
      <c r="E145" s="16" t="n"/>
      <c r="F145" s="21" t="n"/>
      <c r="G145" s="21" t="n"/>
      <c r="H145" s="15">
        <f>IF(F145="","",F145-N(G145))</f>
        <v/>
      </c>
      <c r="I145">
        <f>IF(OR(F145="",E145=""),"",MAX(0,Parametros!$B$1-E145))</f>
        <v/>
      </c>
      <c r="J145">
        <f>IF(OR(H145="",I145=""),"",IF(H145&lt;=0,"Pagada",IF(I145=0,"No vencida",IF(I145&lt;=30,"1-30",IF(I145&lt;=60,"31-60",IF(I145&lt;=90,"61-90",IF(I145&lt;=180,"91-180",IF(I145&lt;=360,"181-360","Más de 360"))))))))</f>
        <v/>
      </c>
      <c r="K145" s="14">
        <f>IF(OR(J145="",J145="Pagada"),"",VLOOKUP(J145,Parametros!$A$4:$B$10,2,FALSE))</f>
        <v/>
      </c>
      <c r="L145" s="15">
        <f>IF(K145="","",H145*K145)</f>
        <v/>
      </c>
    </row>
    <row r="146">
      <c r="A146" s="20" t="n"/>
      <c r="B146" s="20" t="n"/>
      <c r="C146" s="20" t="n"/>
      <c r="D146" s="16" t="n"/>
      <c r="E146" s="16" t="n"/>
      <c r="F146" s="21" t="n"/>
      <c r="G146" s="21" t="n"/>
      <c r="H146" s="15">
        <f>IF(F146="","",F146-N(G146))</f>
        <v/>
      </c>
      <c r="I146">
        <f>IF(OR(F146="",E146=""),"",MAX(0,Parametros!$B$1-E146))</f>
        <v/>
      </c>
      <c r="J146">
        <f>IF(OR(H146="",I146=""),"",IF(H146&lt;=0,"Pagada",IF(I146=0,"No vencida",IF(I146&lt;=30,"1-30",IF(I146&lt;=60,"31-60",IF(I146&lt;=90,"61-90",IF(I146&lt;=180,"91-180",IF(I146&lt;=360,"181-360","Más de 360"))))))))</f>
        <v/>
      </c>
      <c r="K146" s="14">
        <f>IF(OR(J146="",J146="Pagada"),"",VLOOKUP(J146,Parametros!$A$4:$B$10,2,FALSE))</f>
        <v/>
      </c>
      <c r="L146" s="15">
        <f>IF(K146="","",H146*K146)</f>
        <v/>
      </c>
    </row>
    <row r="147">
      <c r="A147" s="20" t="n"/>
      <c r="B147" s="20" t="n"/>
      <c r="C147" s="20" t="n"/>
      <c r="D147" s="16" t="n"/>
      <c r="E147" s="16" t="n"/>
      <c r="F147" s="21" t="n"/>
      <c r="G147" s="21" t="n"/>
      <c r="H147" s="15">
        <f>IF(F147="","",F147-N(G147))</f>
        <v/>
      </c>
      <c r="I147">
        <f>IF(OR(F147="",E147=""),"",MAX(0,Parametros!$B$1-E147))</f>
        <v/>
      </c>
      <c r="J147">
        <f>IF(OR(H147="",I147=""),"",IF(H147&lt;=0,"Pagada",IF(I147=0,"No vencida",IF(I147&lt;=30,"1-30",IF(I147&lt;=60,"31-60",IF(I147&lt;=90,"61-90",IF(I147&lt;=180,"91-180",IF(I147&lt;=360,"181-360","Más de 360"))))))))</f>
        <v/>
      </c>
      <c r="K147" s="14">
        <f>IF(OR(J147="",J147="Pagada"),"",VLOOKUP(J147,Parametros!$A$4:$B$10,2,FALSE))</f>
        <v/>
      </c>
      <c r="L147" s="15">
        <f>IF(K147="","",H147*K147)</f>
        <v/>
      </c>
    </row>
    <row r="148">
      <c r="A148" s="20" t="n"/>
      <c r="B148" s="20" t="n"/>
      <c r="C148" s="20" t="n"/>
      <c r="D148" s="16" t="n"/>
      <c r="E148" s="16" t="n"/>
      <c r="F148" s="21" t="n"/>
      <c r="G148" s="21" t="n"/>
      <c r="H148" s="15">
        <f>IF(F148="","",F148-N(G148))</f>
        <v/>
      </c>
      <c r="I148">
        <f>IF(OR(F148="",E148=""),"",MAX(0,Parametros!$B$1-E148))</f>
        <v/>
      </c>
      <c r="J148">
        <f>IF(OR(H148="",I148=""),"",IF(H148&lt;=0,"Pagada",IF(I148=0,"No vencida",IF(I148&lt;=30,"1-30",IF(I148&lt;=60,"31-60",IF(I148&lt;=90,"61-90",IF(I148&lt;=180,"91-180",IF(I148&lt;=360,"181-360","Más de 360"))))))))</f>
        <v/>
      </c>
      <c r="K148" s="14">
        <f>IF(OR(J148="",J148="Pagada"),"",VLOOKUP(J148,Parametros!$A$4:$B$10,2,FALSE))</f>
        <v/>
      </c>
      <c r="L148" s="15">
        <f>IF(K148="","",H148*K148)</f>
        <v/>
      </c>
    </row>
    <row r="149">
      <c r="A149" s="20" t="n"/>
      <c r="B149" s="20" t="n"/>
      <c r="C149" s="20" t="n"/>
      <c r="D149" s="16" t="n"/>
      <c r="E149" s="16" t="n"/>
      <c r="F149" s="21" t="n"/>
      <c r="G149" s="21" t="n"/>
      <c r="H149" s="15">
        <f>IF(F149="","",F149-N(G149))</f>
        <v/>
      </c>
      <c r="I149">
        <f>IF(OR(F149="",E149=""),"",MAX(0,Parametros!$B$1-E149))</f>
        <v/>
      </c>
      <c r="J149">
        <f>IF(OR(H149="",I149=""),"",IF(H149&lt;=0,"Pagada",IF(I149=0,"No vencida",IF(I149&lt;=30,"1-30",IF(I149&lt;=60,"31-60",IF(I149&lt;=90,"61-90",IF(I149&lt;=180,"91-180",IF(I149&lt;=360,"181-360","Más de 360"))))))))</f>
        <v/>
      </c>
      <c r="K149" s="14">
        <f>IF(OR(J149="",J149="Pagada"),"",VLOOKUP(J149,Parametros!$A$4:$B$10,2,FALSE))</f>
        <v/>
      </c>
      <c r="L149" s="15">
        <f>IF(K149="","",H149*K149)</f>
        <v/>
      </c>
    </row>
    <row r="150">
      <c r="A150" s="20" t="n"/>
      <c r="B150" s="20" t="n"/>
      <c r="C150" s="20" t="n"/>
      <c r="D150" s="16" t="n"/>
      <c r="E150" s="16" t="n"/>
      <c r="F150" s="21" t="n"/>
      <c r="G150" s="21" t="n"/>
      <c r="H150" s="15">
        <f>IF(F150="","",F150-N(G150))</f>
        <v/>
      </c>
      <c r="I150">
        <f>IF(OR(F150="",E150=""),"",MAX(0,Parametros!$B$1-E150))</f>
        <v/>
      </c>
      <c r="J150">
        <f>IF(OR(H150="",I150=""),"",IF(H150&lt;=0,"Pagada",IF(I150=0,"No vencida",IF(I150&lt;=30,"1-30",IF(I150&lt;=60,"31-60",IF(I150&lt;=90,"61-90",IF(I150&lt;=180,"91-180",IF(I150&lt;=360,"181-360","Más de 360"))))))))</f>
        <v/>
      </c>
      <c r="K150" s="14">
        <f>IF(OR(J150="",J150="Pagada"),"",VLOOKUP(J150,Parametros!$A$4:$B$10,2,FALSE))</f>
        <v/>
      </c>
      <c r="L150" s="15">
        <f>IF(K150="","",H150*K150)</f>
        <v/>
      </c>
    </row>
    <row r="151">
      <c r="A151" s="20" t="n"/>
      <c r="B151" s="20" t="n"/>
      <c r="C151" s="20" t="n"/>
      <c r="D151" s="16" t="n"/>
      <c r="E151" s="16" t="n"/>
      <c r="F151" s="21" t="n"/>
      <c r="G151" s="21" t="n"/>
      <c r="H151" s="15">
        <f>IF(F151="","",F151-N(G151))</f>
        <v/>
      </c>
      <c r="I151">
        <f>IF(OR(F151="",E151=""),"",MAX(0,Parametros!$B$1-E151))</f>
        <v/>
      </c>
      <c r="J151">
        <f>IF(OR(H151="",I151=""),"",IF(H151&lt;=0,"Pagada",IF(I151=0,"No vencida",IF(I151&lt;=30,"1-30",IF(I151&lt;=60,"31-60",IF(I151&lt;=90,"61-90",IF(I151&lt;=180,"91-180",IF(I151&lt;=360,"181-360","Más de 360"))))))))</f>
        <v/>
      </c>
      <c r="K151" s="14">
        <f>IF(OR(J151="",J151="Pagada"),"",VLOOKUP(J151,Parametros!$A$4:$B$10,2,FALSE))</f>
        <v/>
      </c>
      <c r="L151" s="15">
        <f>IF(K151="","",H151*K151)</f>
        <v/>
      </c>
    </row>
    <row r="152">
      <c r="A152" s="20" t="n"/>
      <c r="B152" s="20" t="n"/>
      <c r="C152" s="20" t="n"/>
      <c r="D152" s="16" t="n"/>
      <c r="E152" s="16" t="n"/>
      <c r="F152" s="21" t="n"/>
      <c r="G152" s="21" t="n"/>
      <c r="H152" s="15">
        <f>IF(F152="","",F152-N(G152))</f>
        <v/>
      </c>
      <c r="I152">
        <f>IF(OR(F152="",E152=""),"",MAX(0,Parametros!$B$1-E152))</f>
        <v/>
      </c>
      <c r="J152">
        <f>IF(OR(H152="",I152=""),"",IF(H152&lt;=0,"Pagada",IF(I152=0,"No vencida",IF(I152&lt;=30,"1-30",IF(I152&lt;=60,"31-60",IF(I152&lt;=90,"61-90",IF(I152&lt;=180,"91-180",IF(I152&lt;=360,"181-360","Más de 360"))))))))</f>
        <v/>
      </c>
      <c r="K152" s="14">
        <f>IF(OR(J152="",J152="Pagada"),"",VLOOKUP(J152,Parametros!$A$4:$B$10,2,FALSE))</f>
        <v/>
      </c>
      <c r="L152" s="15">
        <f>IF(K152="","",H152*K152)</f>
        <v/>
      </c>
    </row>
    <row r="153">
      <c r="A153" s="20" t="n"/>
      <c r="B153" s="20" t="n"/>
      <c r="C153" s="20" t="n"/>
      <c r="D153" s="16" t="n"/>
      <c r="E153" s="16" t="n"/>
      <c r="F153" s="21" t="n"/>
      <c r="G153" s="21" t="n"/>
      <c r="H153" s="15">
        <f>IF(F153="","",F153-N(G153))</f>
        <v/>
      </c>
      <c r="I153">
        <f>IF(OR(F153="",E153=""),"",MAX(0,Parametros!$B$1-E153))</f>
        <v/>
      </c>
      <c r="J153">
        <f>IF(OR(H153="",I153=""),"",IF(H153&lt;=0,"Pagada",IF(I153=0,"No vencida",IF(I153&lt;=30,"1-30",IF(I153&lt;=60,"31-60",IF(I153&lt;=90,"61-90",IF(I153&lt;=180,"91-180",IF(I153&lt;=360,"181-360","Más de 360"))))))))</f>
        <v/>
      </c>
      <c r="K153" s="14">
        <f>IF(OR(J153="",J153="Pagada"),"",VLOOKUP(J153,Parametros!$A$4:$B$10,2,FALSE))</f>
        <v/>
      </c>
      <c r="L153" s="15">
        <f>IF(K153="","",H153*K153)</f>
        <v/>
      </c>
    </row>
    <row r="154">
      <c r="A154" s="20" t="n"/>
      <c r="B154" s="20" t="n"/>
      <c r="C154" s="20" t="n"/>
      <c r="D154" s="16" t="n"/>
      <c r="E154" s="16" t="n"/>
      <c r="F154" s="21" t="n"/>
      <c r="G154" s="21" t="n"/>
      <c r="H154" s="15">
        <f>IF(F154="","",F154-N(G154))</f>
        <v/>
      </c>
      <c r="I154">
        <f>IF(OR(F154="",E154=""),"",MAX(0,Parametros!$B$1-E154))</f>
        <v/>
      </c>
      <c r="J154">
        <f>IF(OR(H154="",I154=""),"",IF(H154&lt;=0,"Pagada",IF(I154=0,"No vencida",IF(I154&lt;=30,"1-30",IF(I154&lt;=60,"31-60",IF(I154&lt;=90,"61-90",IF(I154&lt;=180,"91-180",IF(I154&lt;=360,"181-360","Más de 360"))))))))</f>
        <v/>
      </c>
      <c r="K154" s="14">
        <f>IF(OR(J154="",J154="Pagada"),"",VLOOKUP(J154,Parametros!$A$4:$B$10,2,FALSE))</f>
        <v/>
      </c>
      <c r="L154" s="15">
        <f>IF(K154="","",H154*K154)</f>
        <v/>
      </c>
    </row>
    <row r="155">
      <c r="A155" s="20" t="n"/>
      <c r="B155" s="20" t="n"/>
      <c r="C155" s="20" t="n"/>
      <c r="D155" s="16" t="n"/>
      <c r="E155" s="16" t="n"/>
      <c r="F155" s="21" t="n"/>
      <c r="G155" s="21" t="n"/>
      <c r="H155" s="15">
        <f>IF(F155="","",F155-N(G155))</f>
        <v/>
      </c>
      <c r="I155">
        <f>IF(OR(F155="",E155=""),"",MAX(0,Parametros!$B$1-E155))</f>
        <v/>
      </c>
      <c r="J155">
        <f>IF(OR(H155="",I155=""),"",IF(H155&lt;=0,"Pagada",IF(I155=0,"No vencida",IF(I155&lt;=30,"1-30",IF(I155&lt;=60,"31-60",IF(I155&lt;=90,"61-90",IF(I155&lt;=180,"91-180",IF(I155&lt;=360,"181-360","Más de 360"))))))))</f>
        <v/>
      </c>
      <c r="K155" s="14">
        <f>IF(OR(J155="",J155="Pagada"),"",VLOOKUP(J155,Parametros!$A$4:$B$10,2,FALSE))</f>
        <v/>
      </c>
      <c r="L155" s="15">
        <f>IF(K155="","",H155*K155)</f>
        <v/>
      </c>
    </row>
    <row r="156">
      <c r="A156" s="20" t="n"/>
      <c r="B156" s="20" t="n"/>
      <c r="C156" s="20" t="n"/>
      <c r="D156" s="16" t="n"/>
      <c r="E156" s="16" t="n"/>
      <c r="F156" s="21" t="n"/>
      <c r="G156" s="21" t="n"/>
      <c r="H156" s="15">
        <f>IF(F156="","",F156-N(G156))</f>
        <v/>
      </c>
      <c r="I156">
        <f>IF(OR(F156="",E156=""),"",MAX(0,Parametros!$B$1-E156))</f>
        <v/>
      </c>
      <c r="J156">
        <f>IF(OR(H156="",I156=""),"",IF(H156&lt;=0,"Pagada",IF(I156=0,"No vencida",IF(I156&lt;=30,"1-30",IF(I156&lt;=60,"31-60",IF(I156&lt;=90,"61-90",IF(I156&lt;=180,"91-180",IF(I156&lt;=360,"181-360","Más de 360"))))))))</f>
        <v/>
      </c>
      <c r="K156" s="14">
        <f>IF(OR(J156="",J156="Pagada"),"",VLOOKUP(J156,Parametros!$A$4:$B$10,2,FALSE))</f>
        <v/>
      </c>
      <c r="L156" s="15">
        <f>IF(K156="","",H156*K156)</f>
        <v/>
      </c>
    </row>
    <row r="157">
      <c r="A157" s="20" t="n"/>
      <c r="B157" s="20" t="n"/>
      <c r="C157" s="20" t="n"/>
      <c r="D157" s="16" t="n"/>
      <c r="E157" s="16" t="n"/>
      <c r="F157" s="21" t="n"/>
      <c r="G157" s="21" t="n"/>
      <c r="H157" s="15">
        <f>IF(F157="","",F157-N(G157))</f>
        <v/>
      </c>
      <c r="I157">
        <f>IF(OR(F157="",E157=""),"",MAX(0,Parametros!$B$1-E157))</f>
        <v/>
      </c>
      <c r="J157">
        <f>IF(OR(H157="",I157=""),"",IF(H157&lt;=0,"Pagada",IF(I157=0,"No vencida",IF(I157&lt;=30,"1-30",IF(I157&lt;=60,"31-60",IF(I157&lt;=90,"61-90",IF(I157&lt;=180,"91-180",IF(I157&lt;=360,"181-360","Más de 360"))))))))</f>
        <v/>
      </c>
      <c r="K157" s="14">
        <f>IF(OR(J157="",J157="Pagada"),"",VLOOKUP(J157,Parametros!$A$4:$B$10,2,FALSE))</f>
        <v/>
      </c>
      <c r="L157" s="15">
        <f>IF(K157="","",H157*K157)</f>
        <v/>
      </c>
    </row>
    <row r="158">
      <c r="A158" s="20" t="n"/>
      <c r="B158" s="20" t="n"/>
      <c r="C158" s="20" t="n"/>
      <c r="D158" s="16" t="n"/>
      <c r="E158" s="16" t="n"/>
      <c r="F158" s="21" t="n"/>
      <c r="G158" s="21" t="n"/>
      <c r="H158" s="15">
        <f>IF(F158="","",F158-N(G158))</f>
        <v/>
      </c>
      <c r="I158">
        <f>IF(OR(F158="",E158=""),"",MAX(0,Parametros!$B$1-E158))</f>
        <v/>
      </c>
      <c r="J158">
        <f>IF(OR(H158="",I158=""),"",IF(H158&lt;=0,"Pagada",IF(I158=0,"No vencida",IF(I158&lt;=30,"1-30",IF(I158&lt;=60,"31-60",IF(I158&lt;=90,"61-90",IF(I158&lt;=180,"91-180",IF(I158&lt;=360,"181-360","Más de 360"))))))))</f>
        <v/>
      </c>
      <c r="K158" s="14">
        <f>IF(OR(J158="",J158="Pagada"),"",VLOOKUP(J158,Parametros!$A$4:$B$10,2,FALSE))</f>
        <v/>
      </c>
      <c r="L158" s="15">
        <f>IF(K158="","",H158*K158)</f>
        <v/>
      </c>
    </row>
    <row r="159">
      <c r="A159" s="20" t="n"/>
      <c r="B159" s="20" t="n"/>
      <c r="C159" s="20" t="n"/>
      <c r="D159" s="16" t="n"/>
      <c r="E159" s="16" t="n"/>
      <c r="F159" s="21" t="n"/>
      <c r="G159" s="21" t="n"/>
      <c r="H159" s="15">
        <f>IF(F159="","",F159-N(G159))</f>
        <v/>
      </c>
      <c r="I159">
        <f>IF(OR(F159="",E159=""),"",MAX(0,Parametros!$B$1-E159))</f>
        <v/>
      </c>
      <c r="J159">
        <f>IF(OR(H159="",I159=""),"",IF(H159&lt;=0,"Pagada",IF(I159=0,"No vencida",IF(I159&lt;=30,"1-30",IF(I159&lt;=60,"31-60",IF(I159&lt;=90,"61-90",IF(I159&lt;=180,"91-180",IF(I159&lt;=360,"181-360","Más de 360"))))))))</f>
        <v/>
      </c>
      <c r="K159" s="14">
        <f>IF(OR(J159="",J159="Pagada"),"",VLOOKUP(J159,Parametros!$A$4:$B$10,2,FALSE))</f>
        <v/>
      </c>
      <c r="L159" s="15">
        <f>IF(K159="","",H159*K159)</f>
        <v/>
      </c>
    </row>
    <row r="160">
      <c r="A160" s="20" t="n"/>
      <c r="B160" s="20" t="n"/>
      <c r="C160" s="20" t="n"/>
      <c r="D160" s="16" t="n"/>
      <c r="E160" s="16" t="n"/>
      <c r="F160" s="21" t="n"/>
      <c r="G160" s="21" t="n"/>
      <c r="H160" s="15">
        <f>IF(F160="","",F160-N(G160))</f>
        <v/>
      </c>
      <c r="I160">
        <f>IF(OR(F160="",E160=""),"",MAX(0,Parametros!$B$1-E160))</f>
        <v/>
      </c>
      <c r="J160">
        <f>IF(OR(H160="",I160=""),"",IF(H160&lt;=0,"Pagada",IF(I160=0,"No vencida",IF(I160&lt;=30,"1-30",IF(I160&lt;=60,"31-60",IF(I160&lt;=90,"61-90",IF(I160&lt;=180,"91-180",IF(I160&lt;=360,"181-360","Más de 360"))))))))</f>
        <v/>
      </c>
      <c r="K160" s="14">
        <f>IF(OR(J160="",J160="Pagada"),"",VLOOKUP(J160,Parametros!$A$4:$B$10,2,FALSE))</f>
        <v/>
      </c>
      <c r="L160" s="15">
        <f>IF(K160="","",H160*K160)</f>
        <v/>
      </c>
    </row>
    <row r="161">
      <c r="A161" s="20" t="n"/>
      <c r="B161" s="20" t="n"/>
      <c r="C161" s="20" t="n"/>
      <c r="D161" s="16" t="n"/>
      <c r="E161" s="16" t="n"/>
      <c r="F161" s="21" t="n"/>
      <c r="G161" s="21" t="n"/>
      <c r="H161" s="15">
        <f>IF(F161="","",F161-N(G161))</f>
        <v/>
      </c>
      <c r="I161">
        <f>IF(OR(F161="",E161=""),"",MAX(0,Parametros!$B$1-E161))</f>
        <v/>
      </c>
      <c r="J161">
        <f>IF(OR(H161="",I161=""),"",IF(H161&lt;=0,"Pagada",IF(I161=0,"No vencida",IF(I161&lt;=30,"1-30",IF(I161&lt;=60,"31-60",IF(I161&lt;=90,"61-90",IF(I161&lt;=180,"91-180",IF(I161&lt;=360,"181-360","Más de 360"))))))))</f>
        <v/>
      </c>
      <c r="K161" s="14">
        <f>IF(OR(J161="",J161="Pagada"),"",VLOOKUP(J161,Parametros!$A$4:$B$10,2,FALSE))</f>
        <v/>
      </c>
      <c r="L161" s="15">
        <f>IF(K161="","",H161*K161)</f>
        <v/>
      </c>
    </row>
    <row r="162">
      <c r="A162" s="20" t="n"/>
      <c r="B162" s="20" t="n"/>
      <c r="C162" s="20" t="n"/>
      <c r="D162" s="16" t="n"/>
      <c r="E162" s="16" t="n"/>
      <c r="F162" s="21" t="n"/>
      <c r="G162" s="21" t="n"/>
      <c r="H162" s="15">
        <f>IF(F162="","",F162-N(G162))</f>
        <v/>
      </c>
      <c r="I162">
        <f>IF(OR(F162="",E162=""),"",MAX(0,Parametros!$B$1-E162))</f>
        <v/>
      </c>
      <c r="J162">
        <f>IF(OR(H162="",I162=""),"",IF(H162&lt;=0,"Pagada",IF(I162=0,"No vencida",IF(I162&lt;=30,"1-30",IF(I162&lt;=60,"31-60",IF(I162&lt;=90,"61-90",IF(I162&lt;=180,"91-180",IF(I162&lt;=360,"181-360","Más de 360"))))))))</f>
        <v/>
      </c>
      <c r="K162" s="14">
        <f>IF(OR(J162="",J162="Pagada"),"",VLOOKUP(J162,Parametros!$A$4:$B$10,2,FALSE))</f>
        <v/>
      </c>
      <c r="L162" s="15">
        <f>IF(K162="","",H162*K162)</f>
        <v/>
      </c>
    </row>
    <row r="163">
      <c r="A163" s="20" t="n"/>
      <c r="B163" s="20" t="n"/>
      <c r="C163" s="20" t="n"/>
      <c r="D163" s="16" t="n"/>
      <c r="E163" s="16" t="n"/>
      <c r="F163" s="21" t="n"/>
      <c r="G163" s="21" t="n"/>
      <c r="H163" s="15">
        <f>IF(F163="","",F163-N(G163))</f>
        <v/>
      </c>
      <c r="I163">
        <f>IF(OR(F163="",E163=""),"",MAX(0,Parametros!$B$1-E163))</f>
        <v/>
      </c>
      <c r="J163">
        <f>IF(OR(H163="",I163=""),"",IF(H163&lt;=0,"Pagada",IF(I163=0,"No vencida",IF(I163&lt;=30,"1-30",IF(I163&lt;=60,"31-60",IF(I163&lt;=90,"61-90",IF(I163&lt;=180,"91-180",IF(I163&lt;=360,"181-360","Más de 360"))))))))</f>
        <v/>
      </c>
      <c r="K163" s="14">
        <f>IF(OR(J163="",J163="Pagada"),"",VLOOKUP(J163,Parametros!$A$4:$B$10,2,FALSE))</f>
        <v/>
      </c>
      <c r="L163" s="15">
        <f>IF(K163="","",H163*K163)</f>
        <v/>
      </c>
    </row>
    <row r="164">
      <c r="A164" s="20" t="n"/>
      <c r="B164" s="20" t="n"/>
      <c r="C164" s="20" t="n"/>
      <c r="D164" s="16" t="n"/>
      <c r="E164" s="16" t="n"/>
      <c r="F164" s="21" t="n"/>
      <c r="G164" s="21" t="n"/>
      <c r="H164" s="15">
        <f>IF(F164="","",F164-N(G164))</f>
        <v/>
      </c>
      <c r="I164">
        <f>IF(OR(F164="",E164=""),"",MAX(0,Parametros!$B$1-E164))</f>
        <v/>
      </c>
      <c r="J164">
        <f>IF(OR(H164="",I164=""),"",IF(H164&lt;=0,"Pagada",IF(I164=0,"No vencida",IF(I164&lt;=30,"1-30",IF(I164&lt;=60,"31-60",IF(I164&lt;=90,"61-90",IF(I164&lt;=180,"91-180",IF(I164&lt;=360,"181-360","Más de 360"))))))))</f>
        <v/>
      </c>
      <c r="K164" s="14">
        <f>IF(OR(J164="",J164="Pagada"),"",VLOOKUP(J164,Parametros!$A$4:$B$10,2,FALSE))</f>
        <v/>
      </c>
      <c r="L164" s="15">
        <f>IF(K164="","",H164*K164)</f>
        <v/>
      </c>
    </row>
    <row r="165">
      <c r="A165" s="20" t="n"/>
      <c r="B165" s="20" t="n"/>
      <c r="C165" s="20" t="n"/>
      <c r="D165" s="16" t="n"/>
      <c r="E165" s="16" t="n"/>
      <c r="F165" s="21" t="n"/>
      <c r="G165" s="21" t="n"/>
      <c r="H165" s="15">
        <f>IF(F165="","",F165-N(G165))</f>
        <v/>
      </c>
      <c r="I165">
        <f>IF(OR(F165="",E165=""),"",MAX(0,Parametros!$B$1-E165))</f>
        <v/>
      </c>
      <c r="J165">
        <f>IF(OR(H165="",I165=""),"",IF(H165&lt;=0,"Pagada",IF(I165=0,"No vencida",IF(I165&lt;=30,"1-30",IF(I165&lt;=60,"31-60",IF(I165&lt;=90,"61-90",IF(I165&lt;=180,"91-180",IF(I165&lt;=360,"181-360","Más de 360"))))))))</f>
        <v/>
      </c>
      <c r="K165" s="14">
        <f>IF(OR(J165="",J165="Pagada"),"",VLOOKUP(J165,Parametros!$A$4:$B$10,2,FALSE))</f>
        <v/>
      </c>
      <c r="L165" s="15">
        <f>IF(K165="","",H165*K165)</f>
        <v/>
      </c>
    </row>
    <row r="166">
      <c r="A166" s="20" t="n"/>
      <c r="B166" s="20" t="n"/>
      <c r="C166" s="20" t="n"/>
      <c r="D166" s="16" t="n"/>
      <c r="E166" s="16" t="n"/>
      <c r="F166" s="21" t="n"/>
      <c r="G166" s="21" t="n"/>
      <c r="H166" s="15">
        <f>IF(F166="","",F166-N(G166))</f>
        <v/>
      </c>
      <c r="I166">
        <f>IF(OR(F166="",E166=""),"",MAX(0,Parametros!$B$1-E166))</f>
        <v/>
      </c>
      <c r="J166">
        <f>IF(OR(H166="",I166=""),"",IF(H166&lt;=0,"Pagada",IF(I166=0,"No vencida",IF(I166&lt;=30,"1-30",IF(I166&lt;=60,"31-60",IF(I166&lt;=90,"61-90",IF(I166&lt;=180,"91-180",IF(I166&lt;=360,"181-360","Más de 360"))))))))</f>
        <v/>
      </c>
      <c r="K166" s="14">
        <f>IF(OR(J166="",J166="Pagada"),"",VLOOKUP(J166,Parametros!$A$4:$B$10,2,FALSE))</f>
        <v/>
      </c>
      <c r="L166" s="15">
        <f>IF(K166="","",H166*K166)</f>
        <v/>
      </c>
    </row>
    <row r="167">
      <c r="A167" s="20" t="n"/>
      <c r="B167" s="20" t="n"/>
      <c r="C167" s="20" t="n"/>
      <c r="D167" s="16" t="n"/>
      <c r="E167" s="16" t="n"/>
      <c r="F167" s="21" t="n"/>
      <c r="G167" s="21" t="n"/>
      <c r="H167" s="15">
        <f>IF(F167="","",F167-N(G167))</f>
        <v/>
      </c>
      <c r="I167">
        <f>IF(OR(F167="",E167=""),"",MAX(0,Parametros!$B$1-E167))</f>
        <v/>
      </c>
      <c r="J167">
        <f>IF(OR(H167="",I167=""),"",IF(H167&lt;=0,"Pagada",IF(I167=0,"No vencida",IF(I167&lt;=30,"1-30",IF(I167&lt;=60,"31-60",IF(I167&lt;=90,"61-90",IF(I167&lt;=180,"91-180",IF(I167&lt;=360,"181-360","Más de 360"))))))))</f>
        <v/>
      </c>
      <c r="K167" s="14">
        <f>IF(OR(J167="",J167="Pagada"),"",VLOOKUP(J167,Parametros!$A$4:$B$10,2,FALSE))</f>
        <v/>
      </c>
      <c r="L167" s="15">
        <f>IF(K167="","",H167*K167)</f>
        <v/>
      </c>
    </row>
    <row r="168">
      <c r="A168" s="20" t="n"/>
      <c r="B168" s="20" t="n"/>
      <c r="C168" s="20" t="n"/>
      <c r="D168" s="16" t="n"/>
      <c r="E168" s="16" t="n"/>
      <c r="F168" s="21" t="n"/>
      <c r="G168" s="21" t="n"/>
      <c r="H168" s="15">
        <f>IF(F168="","",F168-N(G168))</f>
        <v/>
      </c>
      <c r="I168">
        <f>IF(OR(F168="",E168=""),"",MAX(0,Parametros!$B$1-E168))</f>
        <v/>
      </c>
      <c r="J168">
        <f>IF(OR(H168="",I168=""),"",IF(H168&lt;=0,"Pagada",IF(I168=0,"No vencida",IF(I168&lt;=30,"1-30",IF(I168&lt;=60,"31-60",IF(I168&lt;=90,"61-90",IF(I168&lt;=180,"91-180",IF(I168&lt;=360,"181-360","Más de 360"))))))))</f>
        <v/>
      </c>
      <c r="K168" s="14">
        <f>IF(OR(J168="",J168="Pagada"),"",VLOOKUP(J168,Parametros!$A$4:$B$10,2,FALSE))</f>
        <v/>
      </c>
      <c r="L168" s="15">
        <f>IF(K168="","",H168*K168)</f>
        <v/>
      </c>
    </row>
    <row r="169">
      <c r="A169" s="20" t="n"/>
      <c r="B169" s="20" t="n"/>
      <c r="C169" s="20" t="n"/>
      <c r="D169" s="16" t="n"/>
      <c r="E169" s="16" t="n"/>
      <c r="F169" s="21" t="n"/>
      <c r="G169" s="21" t="n"/>
      <c r="H169" s="15">
        <f>IF(F169="","",F169-N(G169))</f>
        <v/>
      </c>
      <c r="I169">
        <f>IF(OR(F169="",E169=""),"",MAX(0,Parametros!$B$1-E169))</f>
        <v/>
      </c>
      <c r="J169">
        <f>IF(OR(H169="",I169=""),"",IF(H169&lt;=0,"Pagada",IF(I169=0,"No vencida",IF(I169&lt;=30,"1-30",IF(I169&lt;=60,"31-60",IF(I169&lt;=90,"61-90",IF(I169&lt;=180,"91-180",IF(I169&lt;=360,"181-360","Más de 360"))))))))</f>
        <v/>
      </c>
      <c r="K169" s="14">
        <f>IF(OR(J169="",J169="Pagada"),"",VLOOKUP(J169,Parametros!$A$4:$B$10,2,FALSE))</f>
        <v/>
      </c>
      <c r="L169" s="15">
        <f>IF(K169="","",H169*K169)</f>
        <v/>
      </c>
    </row>
    <row r="170">
      <c r="A170" s="20" t="n"/>
      <c r="B170" s="20" t="n"/>
      <c r="C170" s="20" t="n"/>
      <c r="D170" s="16" t="n"/>
      <c r="E170" s="16" t="n"/>
      <c r="F170" s="21" t="n"/>
      <c r="G170" s="21" t="n"/>
      <c r="H170" s="15">
        <f>IF(F170="","",F170-N(G170))</f>
        <v/>
      </c>
      <c r="I170">
        <f>IF(OR(F170="",E170=""),"",MAX(0,Parametros!$B$1-E170))</f>
        <v/>
      </c>
      <c r="J170">
        <f>IF(OR(H170="",I170=""),"",IF(H170&lt;=0,"Pagada",IF(I170=0,"No vencida",IF(I170&lt;=30,"1-30",IF(I170&lt;=60,"31-60",IF(I170&lt;=90,"61-90",IF(I170&lt;=180,"91-180",IF(I170&lt;=360,"181-360","Más de 360"))))))))</f>
        <v/>
      </c>
      <c r="K170" s="14">
        <f>IF(OR(J170="",J170="Pagada"),"",VLOOKUP(J170,Parametros!$A$4:$B$10,2,FALSE))</f>
        <v/>
      </c>
      <c r="L170" s="15">
        <f>IF(K170="","",H170*K170)</f>
        <v/>
      </c>
    </row>
    <row r="171">
      <c r="A171" s="20" t="n"/>
      <c r="B171" s="20" t="n"/>
      <c r="C171" s="20" t="n"/>
      <c r="D171" s="16" t="n"/>
      <c r="E171" s="16" t="n"/>
      <c r="F171" s="21" t="n"/>
      <c r="G171" s="21" t="n"/>
      <c r="H171" s="15">
        <f>IF(F171="","",F171-N(G171))</f>
        <v/>
      </c>
      <c r="I171">
        <f>IF(OR(F171="",E171=""),"",MAX(0,Parametros!$B$1-E171))</f>
        <v/>
      </c>
      <c r="J171">
        <f>IF(OR(H171="",I171=""),"",IF(H171&lt;=0,"Pagada",IF(I171=0,"No vencida",IF(I171&lt;=30,"1-30",IF(I171&lt;=60,"31-60",IF(I171&lt;=90,"61-90",IF(I171&lt;=180,"91-180",IF(I171&lt;=360,"181-360","Más de 360"))))))))</f>
        <v/>
      </c>
      <c r="K171" s="14">
        <f>IF(OR(J171="",J171="Pagada"),"",VLOOKUP(J171,Parametros!$A$4:$B$10,2,FALSE))</f>
        <v/>
      </c>
      <c r="L171" s="15">
        <f>IF(K171="","",H171*K171)</f>
        <v/>
      </c>
    </row>
    <row r="172">
      <c r="A172" s="20" t="n"/>
      <c r="B172" s="20" t="n"/>
      <c r="C172" s="20" t="n"/>
      <c r="D172" s="16" t="n"/>
      <c r="E172" s="16" t="n"/>
      <c r="F172" s="21" t="n"/>
      <c r="G172" s="21" t="n"/>
      <c r="H172" s="15">
        <f>IF(F172="","",F172-N(G172))</f>
        <v/>
      </c>
      <c r="I172">
        <f>IF(OR(F172="",E172=""),"",MAX(0,Parametros!$B$1-E172))</f>
        <v/>
      </c>
      <c r="J172">
        <f>IF(OR(H172="",I172=""),"",IF(H172&lt;=0,"Pagada",IF(I172=0,"No vencida",IF(I172&lt;=30,"1-30",IF(I172&lt;=60,"31-60",IF(I172&lt;=90,"61-90",IF(I172&lt;=180,"91-180",IF(I172&lt;=360,"181-360","Más de 360"))))))))</f>
        <v/>
      </c>
      <c r="K172" s="14">
        <f>IF(OR(J172="",J172="Pagada"),"",VLOOKUP(J172,Parametros!$A$4:$B$10,2,FALSE))</f>
        <v/>
      </c>
      <c r="L172" s="15">
        <f>IF(K172="","",H172*K172)</f>
        <v/>
      </c>
    </row>
    <row r="173">
      <c r="A173" s="20" t="n"/>
      <c r="B173" s="20" t="n"/>
      <c r="C173" s="20" t="n"/>
      <c r="D173" s="16" t="n"/>
      <c r="E173" s="16" t="n"/>
      <c r="F173" s="21" t="n"/>
      <c r="G173" s="21" t="n"/>
      <c r="H173" s="15">
        <f>IF(F173="","",F173-N(G173))</f>
        <v/>
      </c>
      <c r="I173">
        <f>IF(OR(F173="",E173=""),"",MAX(0,Parametros!$B$1-E173))</f>
        <v/>
      </c>
      <c r="J173">
        <f>IF(OR(H173="",I173=""),"",IF(H173&lt;=0,"Pagada",IF(I173=0,"No vencida",IF(I173&lt;=30,"1-30",IF(I173&lt;=60,"31-60",IF(I173&lt;=90,"61-90",IF(I173&lt;=180,"91-180",IF(I173&lt;=360,"181-360","Más de 360"))))))))</f>
        <v/>
      </c>
      <c r="K173" s="14">
        <f>IF(OR(J173="",J173="Pagada"),"",VLOOKUP(J173,Parametros!$A$4:$B$10,2,FALSE))</f>
        <v/>
      </c>
      <c r="L173" s="15">
        <f>IF(K173="","",H173*K173)</f>
        <v/>
      </c>
    </row>
    <row r="174">
      <c r="A174" s="20" t="n"/>
      <c r="B174" s="20" t="n"/>
      <c r="C174" s="20" t="n"/>
      <c r="D174" s="16" t="n"/>
      <c r="E174" s="16" t="n"/>
      <c r="F174" s="21" t="n"/>
      <c r="G174" s="21" t="n"/>
      <c r="H174" s="15">
        <f>IF(F174="","",F174-N(G174))</f>
        <v/>
      </c>
      <c r="I174">
        <f>IF(OR(F174="",E174=""),"",MAX(0,Parametros!$B$1-E174))</f>
        <v/>
      </c>
      <c r="J174">
        <f>IF(OR(H174="",I174=""),"",IF(H174&lt;=0,"Pagada",IF(I174=0,"No vencida",IF(I174&lt;=30,"1-30",IF(I174&lt;=60,"31-60",IF(I174&lt;=90,"61-90",IF(I174&lt;=180,"91-180",IF(I174&lt;=360,"181-360","Más de 360"))))))))</f>
        <v/>
      </c>
      <c r="K174" s="14">
        <f>IF(OR(J174="",J174="Pagada"),"",VLOOKUP(J174,Parametros!$A$4:$B$10,2,FALSE))</f>
        <v/>
      </c>
      <c r="L174" s="15">
        <f>IF(K174="","",H174*K174)</f>
        <v/>
      </c>
    </row>
    <row r="175">
      <c r="A175" s="20" t="n"/>
      <c r="B175" s="20" t="n"/>
      <c r="C175" s="20" t="n"/>
      <c r="D175" s="16" t="n"/>
      <c r="E175" s="16" t="n"/>
      <c r="F175" s="21" t="n"/>
      <c r="G175" s="21" t="n"/>
      <c r="H175" s="15">
        <f>IF(F175="","",F175-N(G175))</f>
        <v/>
      </c>
      <c r="I175">
        <f>IF(OR(F175="",E175=""),"",MAX(0,Parametros!$B$1-E175))</f>
        <v/>
      </c>
      <c r="J175">
        <f>IF(OR(H175="",I175=""),"",IF(H175&lt;=0,"Pagada",IF(I175=0,"No vencida",IF(I175&lt;=30,"1-30",IF(I175&lt;=60,"31-60",IF(I175&lt;=90,"61-90",IF(I175&lt;=180,"91-180",IF(I175&lt;=360,"181-360","Más de 360"))))))))</f>
        <v/>
      </c>
      <c r="K175" s="14">
        <f>IF(OR(J175="",J175="Pagada"),"",VLOOKUP(J175,Parametros!$A$4:$B$10,2,FALSE))</f>
        <v/>
      </c>
      <c r="L175" s="15">
        <f>IF(K175="","",H175*K175)</f>
        <v/>
      </c>
    </row>
    <row r="176">
      <c r="A176" s="20" t="n"/>
      <c r="B176" s="20" t="n"/>
      <c r="C176" s="20" t="n"/>
      <c r="D176" s="16" t="n"/>
      <c r="E176" s="16" t="n"/>
      <c r="F176" s="21" t="n"/>
      <c r="G176" s="21" t="n"/>
      <c r="H176" s="15">
        <f>IF(F176="","",F176-N(G176))</f>
        <v/>
      </c>
      <c r="I176">
        <f>IF(OR(F176="",E176=""),"",MAX(0,Parametros!$B$1-E176))</f>
        <v/>
      </c>
      <c r="J176">
        <f>IF(OR(H176="",I176=""),"",IF(H176&lt;=0,"Pagada",IF(I176=0,"No vencida",IF(I176&lt;=30,"1-30",IF(I176&lt;=60,"31-60",IF(I176&lt;=90,"61-90",IF(I176&lt;=180,"91-180",IF(I176&lt;=360,"181-360","Más de 360"))))))))</f>
        <v/>
      </c>
      <c r="K176" s="14">
        <f>IF(OR(J176="",J176="Pagada"),"",VLOOKUP(J176,Parametros!$A$4:$B$10,2,FALSE))</f>
        <v/>
      </c>
      <c r="L176" s="15">
        <f>IF(K176="","",H176*K176)</f>
        <v/>
      </c>
    </row>
    <row r="177">
      <c r="A177" s="20" t="n"/>
      <c r="B177" s="20" t="n"/>
      <c r="C177" s="20" t="n"/>
      <c r="D177" s="16" t="n"/>
      <c r="E177" s="16" t="n"/>
      <c r="F177" s="21" t="n"/>
      <c r="G177" s="21" t="n"/>
      <c r="H177" s="15">
        <f>IF(F177="","",F177-N(G177))</f>
        <v/>
      </c>
      <c r="I177">
        <f>IF(OR(F177="",E177=""),"",MAX(0,Parametros!$B$1-E177))</f>
        <v/>
      </c>
      <c r="J177">
        <f>IF(OR(H177="",I177=""),"",IF(H177&lt;=0,"Pagada",IF(I177=0,"No vencida",IF(I177&lt;=30,"1-30",IF(I177&lt;=60,"31-60",IF(I177&lt;=90,"61-90",IF(I177&lt;=180,"91-180",IF(I177&lt;=360,"181-360","Más de 360"))))))))</f>
        <v/>
      </c>
      <c r="K177" s="14">
        <f>IF(OR(J177="",J177="Pagada"),"",VLOOKUP(J177,Parametros!$A$4:$B$10,2,FALSE))</f>
        <v/>
      </c>
      <c r="L177" s="15">
        <f>IF(K177="","",H177*K177)</f>
        <v/>
      </c>
    </row>
    <row r="178">
      <c r="A178" s="20" t="n"/>
      <c r="B178" s="20" t="n"/>
      <c r="C178" s="20" t="n"/>
      <c r="D178" s="16" t="n"/>
      <c r="E178" s="16" t="n"/>
      <c r="F178" s="21" t="n"/>
      <c r="G178" s="21" t="n"/>
      <c r="H178" s="15">
        <f>IF(F178="","",F178-N(G178))</f>
        <v/>
      </c>
      <c r="I178">
        <f>IF(OR(F178="",E178=""),"",MAX(0,Parametros!$B$1-E178))</f>
        <v/>
      </c>
      <c r="J178">
        <f>IF(OR(H178="",I178=""),"",IF(H178&lt;=0,"Pagada",IF(I178=0,"No vencida",IF(I178&lt;=30,"1-30",IF(I178&lt;=60,"31-60",IF(I178&lt;=90,"61-90",IF(I178&lt;=180,"91-180",IF(I178&lt;=360,"181-360","Más de 360"))))))))</f>
        <v/>
      </c>
      <c r="K178" s="14">
        <f>IF(OR(J178="",J178="Pagada"),"",VLOOKUP(J178,Parametros!$A$4:$B$10,2,FALSE))</f>
        <v/>
      </c>
      <c r="L178" s="15">
        <f>IF(K178="","",H178*K178)</f>
        <v/>
      </c>
    </row>
    <row r="179">
      <c r="A179" s="20" t="n"/>
      <c r="B179" s="20" t="n"/>
      <c r="C179" s="20" t="n"/>
      <c r="D179" s="16" t="n"/>
      <c r="E179" s="16" t="n"/>
      <c r="F179" s="21" t="n"/>
      <c r="G179" s="21" t="n"/>
      <c r="H179" s="15">
        <f>IF(F179="","",F179-N(G179))</f>
        <v/>
      </c>
      <c r="I179">
        <f>IF(OR(F179="",E179=""),"",MAX(0,Parametros!$B$1-E179))</f>
        <v/>
      </c>
      <c r="J179">
        <f>IF(OR(H179="",I179=""),"",IF(H179&lt;=0,"Pagada",IF(I179=0,"No vencida",IF(I179&lt;=30,"1-30",IF(I179&lt;=60,"31-60",IF(I179&lt;=90,"61-90",IF(I179&lt;=180,"91-180",IF(I179&lt;=360,"181-360","Más de 360"))))))))</f>
        <v/>
      </c>
      <c r="K179" s="14">
        <f>IF(OR(J179="",J179="Pagada"),"",VLOOKUP(J179,Parametros!$A$4:$B$10,2,FALSE))</f>
        <v/>
      </c>
      <c r="L179" s="15">
        <f>IF(K179="","",H179*K179)</f>
        <v/>
      </c>
    </row>
    <row r="180">
      <c r="A180" s="20" t="n"/>
      <c r="B180" s="20" t="n"/>
      <c r="C180" s="20" t="n"/>
      <c r="D180" s="16" t="n"/>
      <c r="E180" s="16" t="n"/>
      <c r="F180" s="21" t="n"/>
      <c r="G180" s="21" t="n"/>
      <c r="H180" s="15">
        <f>IF(F180="","",F180-N(G180))</f>
        <v/>
      </c>
      <c r="I180">
        <f>IF(OR(F180="",E180=""),"",MAX(0,Parametros!$B$1-E180))</f>
        <v/>
      </c>
      <c r="J180">
        <f>IF(OR(H180="",I180=""),"",IF(H180&lt;=0,"Pagada",IF(I180=0,"No vencida",IF(I180&lt;=30,"1-30",IF(I180&lt;=60,"31-60",IF(I180&lt;=90,"61-90",IF(I180&lt;=180,"91-180",IF(I180&lt;=360,"181-360","Más de 360"))))))))</f>
        <v/>
      </c>
      <c r="K180" s="14">
        <f>IF(OR(J180="",J180="Pagada"),"",VLOOKUP(J180,Parametros!$A$4:$B$10,2,FALSE))</f>
        <v/>
      </c>
      <c r="L180" s="15">
        <f>IF(K180="","",H180*K180)</f>
        <v/>
      </c>
    </row>
    <row r="181">
      <c r="A181" s="20" t="n"/>
      <c r="B181" s="20" t="n"/>
      <c r="C181" s="20" t="n"/>
      <c r="D181" s="16" t="n"/>
      <c r="E181" s="16" t="n"/>
      <c r="F181" s="21" t="n"/>
      <c r="G181" s="21" t="n"/>
      <c r="H181" s="15">
        <f>IF(F181="","",F181-N(G181))</f>
        <v/>
      </c>
      <c r="I181">
        <f>IF(OR(F181="",E181=""),"",MAX(0,Parametros!$B$1-E181))</f>
        <v/>
      </c>
      <c r="J181">
        <f>IF(OR(H181="",I181=""),"",IF(H181&lt;=0,"Pagada",IF(I181=0,"No vencida",IF(I181&lt;=30,"1-30",IF(I181&lt;=60,"31-60",IF(I181&lt;=90,"61-90",IF(I181&lt;=180,"91-180",IF(I181&lt;=360,"181-360","Más de 360"))))))))</f>
        <v/>
      </c>
      <c r="K181" s="14">
        <f>IF(OR(J181="",J181="Pagada"),"",VLOOKUP(J181,Parametros!$A$4:$B$10,2,FALSE))</f>
        <v/>
      </c>
      <c r="L181" s="15">
        <f>IF(K181="","",H181*K181)</f>
        <v/>
      </c>
    </row>
    <row r="182">
      <c r="A182" s="20" t="n"/>
      <c r="B182" s="20" t="n"/>
      <c r="C182" s="20" t="n"/>
      <c r="D182" s="16" t="n"/>
      <c r="E182" s="16" t="n"/>
      <c r="F182" s="21" t="n"/>
      <c r="G182" s="21" t="n"/>
      <c r="H182" s="15">
        <f>IF(F182="","",F182-N(G182))</f>
        <v/>
      </c>
      <c r="I182">
        <f>IF(OR(F182="",E182=""),"",MAX(0,Parametros!$B$1-E182))</f>
        <v/>
      </c>
      <c r="J182">
        <f>IF(OR(H182="",I182=""),"",IF(H182&lt;=0,"Pagada",IF(I182=0,"No vencida",IF(I182&lt;=30,"1-30",IF(I182&lt;=60,"31-60",IF(I182&lt;=90,"61-90",IF(I182&lt;=180,"91-180",IF(I182&lt;=360,"181-360","Más de 360"))))))))</f>
        <v/>
      </c>
      <c r="K182" s="14">
        <f>IF(OR(J182="",J182="Pagada"),"",VLOOKUP(J182,Parametros!$A$4:$B$10,2,FALSE))</f>
        <v/>
      </c>
      <c r="L182" s="15">
        <f>IF(K182="","",H182*K182)</f>
        <v/>
      </c>
    </row>
    <row r="183">
      <c r="A183" s="20" t="n"/>
      <c r="B183" s="20" t="n"/>
      <c r="C183" s="20" t="n"/>
      <c r="D183" s="16" t="n"/>
      <c r="E183" s="16" t="n"/>
      <c r="F183" s="21" t="n"/>
      <c r="G183" s="21" t="n"/>
      <c r="H183" s="15">
        <f>IF(F183="","",F183-N(G183))</f>
        <v/>
      </c>
      <c r="I183">
        <f>IF(OR(F183="",E183=""),"",MAX(0,Parametros!$B$1-E183))</f>
        <v/>
      </c>
      <c r="J183">
        <f>IF(OR(H183="",I183=""),"",IF(H183&lt;=0,"Pagada",IF(I183=0,"No vencida",IF(I183&lt;=30,"1-30",IF(I183&lt;=60,"31-60",IF(I183&lt;=90,"61-90",IF(I183&lt;=180,"91-180",IF(I183&lt;=360,"181-360","Más de 360"))))))))</f>
        <v/>
      </c>
      <c r="K183" s="14">
        <f>IF(OR(J183="",J183="Pagada"),"",VLOOKUP(J183,Parametros!$A$4:$B$10,2,FALSE))</f>
        <v/>
      </c>
      <c r="L183" s="15">
        <f>IF(K183="","",H183*K183)</f>
        <v/>
      </c>
    </row>
    <row r="184">
      <c r="A184" s="20" t="n"/>
      <c r="B184" s="20" t="n"/>
      <c r="C184" s="20" t="n"/>
      <c r="D184" s="16" t="n"/>
      <c r="E184" s="16" t="n"/>
      <c r="F184" s="21" t="n"/>
      <c r="G184" s="21" t="n"/>
      <c r="H184" s="15">
        <f>IF(F184="","",F184-N(G184))</f>
        <v/>
      </c>
      <c r="I184">
        <f>IF(OR(F184="",E184=""),"",MAX(0,Parametros!$B$1-E184))</f>
        <v/>
      </c>
      <c r="J184">
        <f>IF(OR(H184="",I184=""),"",IF(H184&lt;=0,"Pagada",IF(I184=0,"No vencida",IF(I184&lt;=30,"1-30",IF(I184&lt;=60,"31-60",IF(I184&lt;=90,"61-90",IF(I184&lt;=180,"91-180",IF(I184&lt;=360,"181-360","Más de 360"))))))))</f>
        <v/>
      </c>
      <c r="K184" s="14">
        <f>IF(OR(J184="",J184="Pagada"),"",VLOOKUP(J184,Parametros!$A$4:$B$10,2,FALSE))</f>
        <v/>
      </c>
      <c r="L184" s="15">
        <f>IF(K184="","",H184*K184)</f>
        <v/>
      </c>
    </row>
    <row r="185">
      <c r="A185" s="20" t="n"/>
      <c r="B185" s="20" t="n"/>
      <c r="C185" s="20" t="n"/>
      <c r="D185" s="16" t="n"/>
      <c r="E185" s="16" t="n"/>
      <c r="F185" s="21" t="n"/>
      <c r="G185" s="21" t="n"/>
      <c r="H185" s="15">
        <f>IF(F185="","",F185-N(G185))</f>
        <v/>
      </c>
      <c r="I185">
        <f>IF(OR(F185="",E185=""),"",MAX(0,Parametros!$B$1-E185))</f>
        <v/>
      </c>
      <c r="J185">
        <f>IF(OR(H185="",I185=""),"",IF(H185&lt;=0,"Pagada",IF(I185=0,"No vencida",IF(I185&lt;=30,"1-30",IF(I185&lt;=60,"31-60",IF(I185&lt;=90,"61-90",IF(I185&lt;=180,"91-180",IF(I185&lt;=360,"181-360","Más de 360"))))))))</f>
        <v/>
      </c>
      <c r="K185" s="14">
        <f>IF(OR(J185="",J185="Pagada"),"",VLOOKUP(J185,Parametros!$A$4:$B$10,2,FALSE))</f>
        <v/>
      </c>
      <c r="L185" s="15">
        <f>IF(K185="","",H185*K185)</f>
        <v/>
      </c>
    </row>
    <row r="186">
      <c r="A186" s="20" t="n"/>
      <c r="B186" s="20" t="n"/>
      <c r="C186" s="20" t="n"/>
      <c r="D186" s="16" t="n"/>
      <c r="E186" s="16" t="n"/>
      <c r="F186" s="21" t="n"/>
      <c r="G186" s="21" t="n"/>
      <c r="H186" s="15">
        <f>IF(F186="","",F186-N(G186))</f>
        <v/>
      </c>
      <c r="I186">
        <f>IF(OR(F186="",E186=""),"",MAX(0,Parametros!$B$1-E186))</f>
        <v/>
      </c>
      <c r="J186">
        <f>IF(OR(H186="",I186=""),"",IF(H186&lt;=0,"Pagada",IF(I186=0,"No vencida",IF(I186&lt;=30,"1-30",IF(I186&lt;=60,"31-60",IF(I186&lt;=90,"61-90",IF(I186&lt;=180,"91-180",IF(I186&lt;=360,"181-360","Más de 360"))))))))</f>
        <v/>
      </c>
      <c r="K186" s="14">
        <f>IF(OR(J186="",J186="Pagada"),"",VLOOKUP(J186,Parametros!$A$4:$B$10,2,FALSE))</f>
        <v/>
      </c>
      <c r="L186" s="15">
        <f>IF(K186="","",H186*K186)</f>
        <v/>
      </c>
    </row>
    <row r="187">
      <c r="A187" s="20" t="n"/>
      <c r="B187" s="20" t="n"/>
      <c r="C187" s="20" t="n"/>
      <c r="D187" s="16" t="n"/>
      <c r="E187" s="16" t="n"/>
      <c r="F187" s="21" t="n"/>
      <c r="G187" s="21" t="n"/>
      <c r="H187" s="15">
        <f>IF(F187="","",F187-N(G187))</f>
        <v/>
      </c>
      <c r="I187">
        <f>IF(OR(F187="",E187=""),"",MAX(0,Parametros!$B$1-E187))</f>
        <v/>
      </c>
      <c r="J187">
        <f>IF(OR(H187="",I187=""),"",IF(H187&lt;=0,"Pagada",IF(I187=0,"No vencida",IF(I187&lt;=30,"1-30",IF(I187&lt;=60,"31-60",IF(I187&lt;=90,"61-90",IF(I187&lt;=180,"91-180",IF(I187&lt;=360,"181-360","Más de 360"))))))))</f>
        <v/>
      </c>
      <c r="K187" s="14">
        <f>IF(OR(J187="",J187="Pagada"),"",VLOOKUP(J187,Parametros!$A$4:$B$10,2,FALSE))</f>
        <v/>
      </c>
      <c r="L187" s="15">
        <f>IF(K187="","",H187*K187)</f>
        <v/>
      </c>
    </row>
    <row r="188">
      <c r="A188" s="20" t="n"/>
      <c r="B188" s="20" t="n"/>
      <c r="C188" s="20" t="n"/>
      <c r="D188" s="16" t="n"/>
      <c r="E188" s="16" t="n"/>
      <c r="F188" s="21" t="n"/>
      <c r="G188" s="21" t="n"/>
      <c r="H188" s="15">
        <f>IF(F188="","",F188-N(G188))</f>
        <v/>
      </c>
      <c r="I188">
        <f>IF(OR(F188="",E188=""),"",MAX(0,Parametros!$B$1-E188))</f>
        <v/>
      </c>
      <c r="J188">
        <f>IF(OR(H188="",I188=""),"",IF(H188&lt;=0,"Pagada",IF(I188=0,"No vencida",IF(I188&lt;=30,"1-30",IF(I188&lt;=60,"31-60",IF(I188&lt;=90,"61-90",IF(I188&lt;=180,"91-180",IF(I188&lt;=360,"181-360","Más de 360"))))))))</f>
        <v/>
      </c>
      <c r="K188" s="14">
        <f>IF(OR(J188="",J188="Pagada"),"",VLOOKUP(J188,Parametros!$A$4:$B$10,2,FALSE))</f>
        <v/>
      </c>
      <c r="L188" s="15">
        <f>IF(K188="","",H188*K188)</f>
        <v/>
      </c>
    </row>
    <row r="189">
      <c r="A189" s="20" t="n"/>
      <c r="B189" s="20" t="n"/>
      <c r="C189" s="20" t="n"/>
      <c r="D189" s="16" t="n"/>
      <c r="E189" s="16" t="n"/>
      <c r="F189" s="21" t="n"/>
      <c r="G189" s="21" t="n"/>
      <c r="H189" s="15">
        <f>IF(F189="","",F189-N(G189))</f>
        <v/>
      </c>
      <c r="I189">
        <f>IF(OR(F189="",E189=""),"",MAX(0,Parametros!$B$1-E189))</f>
        <v/>
      </c>
      <c r="J189">
        <f>IF(OR(H189="",I189=""),"",IF(H189&lt;=0,"Pagada",IF(I189=0,"No vencida",IF(I189&lt;=30,"1-30",IF(I189&lt;=60,"31-60",IF(I189&lt;=90,"61-90",IF(I189&lt;=180,"91-180",IF(I189&lt;=360,"181-360","Más de 360"))))))))</f>
        <v/>
      </c>
      <c r="K189" s="14">
        <f>IF(OR(J189="",J189="Pagada"),"",VLOOKUP(J189,Parametros!$A$4:$B$10,2,FALSE))</f>
        <v/>
      </c>
      <c r="L189" s="15">
        <f>IF(K189="","",H189*K189)</f>
        <v/>
      </c>
    </row>
    <row r="190">
      <c r="A190" s="20" t="n"/>
      <c r="B190" s="20" t="n"/>
      <c r="C190" s="20" t="n"/>
      <c r="D190" s="16" t="n"/>
      <c r="E190" s="16" t="n"/>
      <c r="F190" s="21" t="n"/>
      <c r="G190" s="21" t="n"/>
      <c r="H190" s="15">
        <f>IF(F190="","",F190-N(G190))</f>
        <v/>
      </c>
      <c r="I190">
        <f>IF(OR(F190="",E190=""),"",MAX(0,Parametros!$B$1-E190))</f>
        <v/>
      </c>
      <c r="J190">
        <f>IF(OR(H190="",I190=""),"",IF(H190&lt;=0,"Pagada",IF(I190=0,"No vencida",IF(I190&lt;=30,"1-30",IF(I190&lt;=60,"31-60",IF(I190&lt;=90,"61-90",IF(I190&lt;=180,"91-180",IF(I190&lt;=360,"181-360","Más de 360"))))))))</f>
        <v/>
      </c>
      <c r="K190" s="14">
        <f>IF(OR(J190="",J190="Pagada"),"",VLOOKUP(J190,Parametros!$A$4:$B$10,2,FALSE))</f>
        <v/>
      </c>
      <c r="L190" s="15">
        <f>IF(K190="","",H190*K190)</f>
        <v/>
      </c>
    </row>
    <row r="191">
      <c r="A191" s="20" t="n"/>
      <c r="B191" s="20" t="n"/>
      <c r="C191" s="20" t="n"/>
      <c r="D191" s="16" t="n"/>
      <c r="E191" s="16" t="n"/>
      <c r="F191" s="21" t="n"/>
      <c r="G191" s="21" t="n"/>
      <c r="H191" s="15">
        <f>IF(F191="","",F191-N(G191))</f>
        <v/>
      </c>
      <c r="I191">
        <f>IF(OR(F191="",E191=""),"",MAX(0,Parametros!$B$1-E191))</f>
        <v/>
      </c>
      <c r="J191">
        <f>IF(OR(H191="",I191=""),"",IF(H191&lt;=0,"Pagada",IF(I191=0,"No vencida",IF(I191&lt;=30,"1-30",IF(I191&lt;=60,"31-60",IF(I191&lt;=90,"61-90",IF(I191&lt;=180,"91-180",IF(I191&lt;=360,"181-360","Más de 360"))))))))</f>
        <v/>
      </c>
      <c r="K191" s="14">
        <f>IF(OR(J191="",J191="Pagada"),"",VLOOKUP(J191,Parametros!$A$4:$B$10,2,FALSE))</f>
        <v/>
      </c>
      <c r="L191" s="15">
        <f>IF(K191="","",H191*K191)</f>
        <v/>
      </c>
    </row>
    <row r="192">
      <c r="A192" s="20" t="n"/>
      <c r="B192" s="20" t="n"/>
      <c r="C192" s="20" t="n"/>
      <c r="D192" s="16" t="n"/>
      <c r="E192" s="16" t="n"/>
      <c r="F192" s="21" t="n"/>
      <c r="G192" s="21" t="n"/>
      <c r="H192" s="15">
        <f>IF(F192="","",F192-N(G192))</f>
        <v/>
      </c>
      <c r="I192">
        <f>IF(OR(F192="",E192=""),"",MAX(0,Parametros!$B$1-E192))</f>
        <v/>
      </c>
      <c r="J192">
        <f>IF(OR(H192="",I192=""),"",IF(H192&lt;=0,"Pagada",IF(I192=0,"No vencida",IF(I192&lt;=30,"1-30",IF(I192&lt;=60,"31-60",IF(I192&lt;=90,"61-90",IF(I192&lt;=180,"91-180",IF(I192&lt;=360,"181-360","Más de 360"))))))))</f>
        <v/>
      </c>
      <c r="K192" s="14">
        <f>IF(OR(J192="",J192="Pagada"),"",VLOOKUP(J192,Parametros!$A$4:$B$10,2,FALSE))</f>
        <v/>
      </c>
      <c r="L192" s="15">
        <f>IF(K192="","",H192*K192)</f>
        <v/>
      </c>
    </row>
    <row r="193">
      <c r="A193" s="20" t="n"/>
      <c r="B193" s="20" t="n"/>
      <c r="C193" s="20" t="n"/>
      <c r="D193" s="16" t="n"/>
      <c r="E193" s="16" t="n"/>
      <c r="F193" s="21" t="n"/>
      <c r="G193" s="21" t="n"/>
      <c r="H193" s="15">
        <f>IF(F193="","",F193-N(G193))</f>
        <v/>
      </c>
      <c r="I193">
        <f>IF(OR(F193="",E193=""),"",MAX(0,Parametros!$B$1-E193))</f>
        <v/>
      </c>
      <c r="J193">
        <f>IF(OR(H193="",I193=""),"",IF(H193&lt;=0,"Pagada",IF(I193=0,"No vencida",IF(I193&lt;=30,"1-30",IF(I193&lt;=60,"31-60",IF(I193&lt;=90,"61-90",IF(I193&lt;=180,"91-180",IF(I193&lt;=360,"181-360","Más de 360"))))))))</f>
        <v/>
      </c>
      <c r="K193" s="14">
        <f>IF(OR(J193="",J193="Pagada"),"",VLOOKUP(J193,Parametros!$A$4:$B$10,2,FALSE))</f>
        <v/>
      </c>
      <c r="L193" s="15">
        <f>IF(K193="","",H193*K193)</f>
        <v/>
      </c>
    </row>
    <row r="194">
      <c r="A194" s="20" t="n"/>
      <c r="B194" s="20" t="n"/>
      <c r="C194" s="20" t="n"/>
      <c r="D194" s="16" t="n"/>
      <c r="E194" s="16" t="n"/>
      <c r="F194" s="21" t="n"/>
      <c r="G194" s="21" t="n"/>
      <c r="H194" s="15">
        <f>IF(F194="","",F194-N(G194))</f>
        <v/>
      </c>
      <c r="I194">
        <f>IF(OR(F194="",E194=""),"",MAX(0,Parametros!$B$1-E194))</f>
        <v/>
      </c>
      <c r="J194">
        <f>IF(OR(H194="",I194=""),"",IF(H194&lt;=0,"Pagada",IF(I194=0,"No vencida",IF(I194&lt;=30,"1-30",IF(I194&lt;=60,"31-60",IF(I194&lt;=90,"61-90",IF(I194&lt;=180,"91-180",IF(I194&lt;=360,"181-360","Más de 360"))))))))</f>
        <v/>
      </c>
      <c r="K194" s="14">
        <f>IF(OR(J194="",J194="Pagada"),"",VLOOKUP(J194,Parametros!$A$4:$B$10,2,FALSE))</f>
        <v/>
      </c>
      <c r="L194" s="15">
        <f>IF(K194="","",H194*K194)</f>
        <v/>
      </c>
    </row>
    <row r="195">
      <c r="A195" s="20" t="n"/>
      <c r="B195" s="20" t="n"/>
      <c r="C195" s="20" t="n"/>
      <c r="D195" s="16" t="n"/>
      <c r="E195" s="16" t="n"/>
      <c r="F195" s="21" t="n"/>
      <c r="G195" s="21" t="n"/>
      <c r="H195" s="15">
        <f>IF(F195="","",F195-N(G195))</f>
        <v/>
      </c>
      <c r="I195">
        <f>IF(OR(F195="",E195=""),"",MAX(0,Parametros!$B$1-E195))</f>
        <v/>
      </c>
      <c r="J195">
        <f>IF(OR(H195="",I195=""),"",IF(H195&lt;=0,"Pagada",IF(I195=0,"No vencida",IF(I195&lt;=30,"1-30",IF(I195&lt;=60,"31-60",IF(I195&lt;=90,"61-90",IF(I195&lt;=180,"91-180",IF(I195&lt;=360,"181-360","Más de 360"))))))))</f>
        <v/>
      </c>
      <c r="K195" s="14">
        <f>IF(OR(J195="",J195="Pagada"),"",VLOOKUP(J195,Parametros!$A$4:$B$10,2,FALSE))</f>
        <v/>
      </c>
      <c r="L195" s="15">
        <f>IF(K195="","",H195*K195)</f>
        <v/>
      </c>
    </row>
    <row r="196">
      <c r="A196" s="20" t="n"/>
      <c r="B196" s="20" t="n"/>
      <c r="C196" s="20" t="n"/>
      <c r="D196" s="16" t="n"/>
      <c r="E196" s="16" t="n"/>
      <c r="F196" s="21" t="n"/>
      <c r="G196" s="21" t="n"/>
      <c r="H196" s="15">
        <f>IF(F196="","",F196-N(G196))</f>
        <v/>
      </c>
      <c r="I196">
        <f>IF(OR(F196="",E196=""),"",MAX(0,Parametros!$B$1-E196))</f>
        <v/>
      </c>
      <c r="J196">
        <f>IF(OR(H196="",I196=""),"",IF(H196&lt;=0,"Pagada",IF(I196=0,"No vencida",IF(I196&lt;=30,"1-30",IF(I196&lt;=60,"31-60",IF(I196&lt;=90,"61-90",IF(I196&lt;=180,"91-180",IF(I196&lt;=360,"181-360","Más de 360"))))))))</f>
        <v/>
      </c>
      <c r="K196" s="14">
        <f>IF(OR(J196="",J196="Pagada"),"",VLOOKUP(J196,Parametros!$A$4:$B$10,2,FALSE))</f>
        <v/>
      </c>
      <c r="L196" s="15">
        <f>IF(K196="","",H196*K196)</f>
        <v/>
      </c>
    </row>
    <row r="197">
      <c r="A197" s="20" t="n"/>
      <c r="B197" s="20" t="n"/>
      <c r="C197" s="20" t="n"/>
      <c r="D197" s="16" t="n"/>
      <c r="E197" s="16" t="n"/>
      <c r="F197" s="21" t="n"/>
      <c r="G197" s="21" t="n"/>
      <c r="H197" s="15">
        <f>IF(F197="","",F197-N(G197))</f>
        <v/>
      </c>
      <c r="I197">
        <f>IF(OR(F197="",E197=""),"",MAX(0,Parametros!$B$1-E197))</f>
        <v/>
      </c>
      <c r="J197">
        <f>IF(OR(H197="",I197=""),"",IF(H197&lt;=0,"Pagada",IF(I197=0,"No vencida",IF(I197&lt;=30,"1-30",IF(I197&lt;=60,"31-60",IF(I197&lt;=90,"61-90",IF(I197&lt;=180,"91-180",IF(I197&lt;=360,"181-360","Más de 360"))))))))</f>
        <v/>
      </c>
      <c r="K197" s="14">
        <f>IF(OR(J197="",J197="Pagada"),"",VLOOKUP(J197,Parametros!$A$4:$B$10,2,FALSE))</f>
        <v/>
      </c>
      <c r="L197" s="15">
        <f>IF(K197="","",H197*K197)</f>
        <v/>
      </c>
    </row>
    <row r="198">
      <c r="A198" s="20" t="n"/>
      <c r="B198" s="20" t="n"/>
      <c r="C198" s="20" t="n"/>
      <c r="D198" s="16" t="n"/>
      <c r="E198" s="16" t="n"/>
      <c r="F198" s="21" t="n"/>
      <c r="G198" s="21" t="n"/>
      <c r="H198" s="15">
        <f>IF(F198="","",F198-N(G198))</f>
        <v/>
      </c>
      <c r="I198">
        <f>IF(OR(F198="",E198=""),"",MAX(0,Parametros!$B$1-E198))</f>
        <v/>
      </c>
      <c r="J198">
        <f>IF(OR(H198="",I198=""),"",IF(H198&lt;=0,"Pagada",IF(I198=0,"No vencida",IF(I198&lt;=30,"1-30",IF(I198&lt;=60,"31-60",IF(I198&lt;=90,"61-90",IF(I198&lt;=180,"91-180",IF(I198&lt;=360,"181-360","Más de 360"))))))))</f>
        <v/>
      </c>
      <c r="K198" s="14">
        <f>IF(OR(J198="",J198="Pagada"),"",VLOOKUP(J198,Parametros!$A$4:$B$10,2,FALSE))</f>
        <v/>
      </c>
      <c r="L198" s="15">
        <f>IF(K198="","",H198*K198)</f>
        <v/>
      </c>
    </row>
    <row r="199">
      <c r="A199" s="20" t="n"/>
      <c r="B199" s="20" t="n"/>
      <c r="C199" s="20" t="n"/>
      <c r="D199" s="16" t="n"/>
      <c r="E199" s="16" t="n"/>
      <c r="F199" s="21" t="n"/>
      <c r="G199" s="21" t="n"/>
      <c r="H199" s="15">
        <f>IF(F199="","",F199-N(G199))</f>
        <v/>
      </c>
      <c r="I199">
        <f>IF(OR(F199="",E199=""),"",MAX(0,Parametros!$B$1-E199))</f>
        <v/>
      </c>
      <c r="J199">
        <f>IF(OR(H199="",I199=""),"",IF(H199&lt;=0,"Pagada",IF(I199=0,"No vencida",IF(I199&lt;=30,"1-30",IF(I199&lt;=60,"31-60",IF(I199&lt;=90,"61-90",IF(I199&lt;=180,"91-180",IF(I199&lt;=360,"181-360","Más de 360"))))))))</f>
        <v/>
      </c>
      <c r="K199" s="14">
        <f>IF(OR(J199="",J199="Pagada"),"",VLOOKUP(J199,Parametros!$A$4:$B$10,2,FALSE))</f>
        <v/>
      </c>
      <c r="L199" s="15">
        <f>IF(K199="","",H199*K199)</f>
        <v/>
      </c>
    </row>
    <row r="200">
      <c r="A200" s="20" t="n"/>
      <c r="B200" s="20" t="n"/>
      <c r="C200" s="20" t="n"/>
      <c r="D200" s="16" t="n"/>
      <c r="E200" s="16" t="n"/>
      <c r="F200" s="21" t="n"/>
      <c r="G200" s="21" t="n"/>
      <c r="H200" s="15">
        <f>IF(F200="","",F200-N(G200))</f>
        <v/>
      </c>
      <c r="I200">
        <f>IF(OR(F200="",E200=""),"",MAX(0,Parametros!$B$1-E200))</f>
        <v/>
      </c>
      <c r="J200">
        <f>IF(OR(H200="",I200=""),"",IF(H200&lt;=0,"Pagada",IF(I200=0,"No vencida",IF(I200&lt;=30,"1-30",IF(I200&lt;=60,"31-60",IF(I200&lt;=90,"61-90",IF(I200&lt;=180,"91-180",IF(I200&lt;=360,"181-360","Más de 360"))))))))</f>
        <v/>
      </c>
      <c r="K200" s="14">
        <f>IF(OR(J200="",J200="Pagada"),"",VLOOKUP(J200,Parametros!$A$4:$B$10,2,FALSE))</f>
        <v/>
      </c>
      <c r="L200" s="15">
        <f>IF(K200="","",H200*K200)</f>
        <v/>
      </c>
    </row>
    <row r="201">
      <c r="A201" s="20" t="n"/>
      <c r="B201" s="20" t="n"/>
      <c r="C201" s="20" t="n"/>
      <c r="D201" s="16" t="n"/>
      <c r="E201" s="16" t="n"/>
      <c r="F201" s="21" t="n"/>
      <c r="G201" s="21" t="n"/>
      <c r="H201" s="15">
        <f>IF(F201="","",F201-N(G201))</f>
        <v/>
      </c>
      <c r="I201">
        <f>IF(OR(F201="",E201=""),"",MAX(0,Parametros!$B$1-E201))</f>
        <v/>
      </c>
      <c r="J201">
        <f>IF(OR(H201="",I201=""),"",IF(H201&lt;=0,"Pagada",IF(I201=0,"No vencida",IF(I201&lt;=30,"1-30",IF(I201&lt;=60,"31-60",IF(I201&lt;=90,"61-90",IF(I201&lt;=180,"91-180",IF(I201&lt;=360,"181-360","Más de 360"))))))))</f>
        <v/>
      </c>
      <c r="K201" s="14">
        <f>IF(OR(J201="",J201="Pagada"),"",VLOOKUP(J201,Parametros!$A$4:$B$10,2,FALSE))</f>
        <v/>
      </c>
      <c r="L201" s="15">
        <f>IF(K201="","",H201*K201)</f>
        <v/>
      </c>
    </row>
    <row r="202">
      <c r="A202" s="20" t="n"/>
      <c r="B202" s="20" t="n"/>
      <c r="C202" s="20" t="n"/>
      <c r="D202" s="16" t="n"/>
      <c r="E202" s="16" t="n"/>
      <c r="F202" s="21" t="n"/>
      <c r="G202" s="21" t="n"/>
      <c r="H202" s="15">
        <f>IF(F202="","",F202-N(G202))</f>
        <v/>
      </c>
      <c r="I202">
        <f>IF(OR(F202="",E202=""),"",MAX(0,Parametros!$B$1-E202))</f>
        <v/>
      </c>
      <c r="J202">
        <f>IF(OR(H202="",I202=""),"",IF(H202&lt;=0,"Pagada",IF(I202=0,"No vencida",IF(I202&lt;=30,"1-30",IF(I202&lt;=60,"31-60",IF(I202&lt;=90,"61-90",IF(I202&lt;=180,"91-180",IF(I202&lt;=360,"181-360","Más de 360"))))))))</f>
        <v/>
      </c>
      <c r="K202" s="14">
        <f>IF(OR(J202="",J202="Pagada"),"",VLOOKUP(J202,Parametros!$A$4:$B$10,2,FALSE))</f>
        <v/>
      </c>
      <c r="L202" s="15">
        <f>IF(K202="","",H202*K202)</f>
        <v/>
      </c>
    </row>
    <row r="203">
      <c r="A203" s="20" t="n"/>
      <c r="B203" s="20" t="n"/>
      <c r="C203" s="20" t="n"/>
      <c r="D203" s="16" t="n"/>
      <c r="E203" s="16" t="n"/>
      <c r="F203" s="21" t="n"/>
      <c r="G203" s="21" t="n"/>
      <c r="H203" s="15">
        <f>IF(F203="","",F203-N(G203))</f>
        <v/>
      </c>
      <c r="I203">
        <f>IF(OR(F203="",E203=""),"",MAX(0,Parametros!$B$1-E203))</f>
        <v/>
      </c>
      <c r="J203">
        <f>IF(OR(H203="",I203=""),"",IF(H203&lt;=0,"Pagada",IF(I203=0,"No vencida",IF(I203&lt;=30,"1-30",IF(I203&lt;=60,"31-60",IF(I203&lt;=90,"61-90",IF(I203&lt;=180,"91-180",IF(I203&lt;=360,"181-360","Más de 360"))))))))</f>
        <v/>
      </c>
      <c r="K203" s="14">
        <f>IF(OR(J203="",J203="Pagada"),"",VLOOKUP(J203,Parametros!$A$4:$B$10,2,FALSE))</f>
        <v/>
      </c>
      <c r="L203" s="15">
        <f>IF(K203="","",H203*K203)</f>
        <v/>
      </c>
    </row>
    <row r="204">
      <c r="A204" s="20" t="n"/>
      <c r="B204" s="20" t="n"/>
      <c r="C204" s="20" t="n"/>
      <c r="D204" s="16" t="n"/>
      <c r="E204" s="16" t="n"/>
      <c r="F204" s="21" t="n"/>
      <c r="G204" s="21" t="n"/>
      <c r="H204" s="15">
        <f>IF(F204="","",F204-N(G204))</f>
        <v/>
      </c>
      <c r="I204">
        <f>IF(OR(F204="",E204=""),"",MAX(0,Parametros!$B$1-E204))</f>
        <v/>
      </c>
      <c r="J204">
        <f>IF(OR(H204="",I204=""),"",IF(H204&lt;=0,"Pagada",IF(I204=0,"No vencida",IF(I204&lt;=30,"1-30",IF(I204&lt;=60,"31-60",IF(I204&lt;=90,"61-90",IF(I204&lt;=180,"91-180",IF(I204&lt;=360,"181-360","Más de 360"))))))))</f>
        <v/>
      </c>
      <c r="K204" s="14">
        <f>IF(OR(J204="",J204="Pagada"),"",VLOOKUP(J204,Parametros!$A$4:$B$10,2,FALSE))</f>
        <v/>
      </c>
      <c r="L204" s="15">
        <f>IF(K204="","",H204*K204)</f>
        <v/>
      </c>
    </row>
    <row r="205">
      <c r="A205" s="20" t="n"/>
      <c r="B205" s="20" t="n"/>
      <c r="C205" s="20" t="n"/>
      <c r="D205" s="16" t="n"/>
      <c r="E205" s="16" t="n"/>
      <c r="F205" s="21" t="n"/>
      <c r="G205" s="21" t="n"/>
      <c r="H205" s="15">
        <f>IF(F205="","",F205-N(G205))</f>
        <v/>
      </c>
      <c r="I205">
        <f>IF(OR(F205="",E205=""),"",MAX(0,Parametros!$B$1-E205))</f>
        <v/>
      </c>
      <c r="J205">
        <f>IF(OR(H205="",I205=""),"",IF(H205&lt;=0,"Pagada",IF(I205=0,"No vencida",IF(I205&lt;=30,"1-30",IF(I205&lt;=60,"31-60",IF(I205&lt;=90,"61-90",IF(I205&lt;=180,"91-180",IF(I205&lt;=360,"181-360","Más de 360"))))))))</f>
        <v/>
      </c>
      <c r="K205" s="14">
        <f>IF(OR(J205="",J205="Pagada"),"",VLOOKUP(J205,Parametros!$A$4:$B$10,2,FALSE))</f>
        <v/>
      </c>
      <c r="L205" s="15">
        <f>IF(K205="","",H205*K205)</f>
        <v/>
      </c>
    </row>
    <row r="206">
      <c r="A206" s="20" t="n"/>
      <c r="B206" s="20" t="n"/>
      <c r="C206" s="20" t="n"/>
      <c r="D206" s="16" t="n"/>
      <c r="E206" s="16" t="n"/>
      <c r="F206" s="21" t="n"/>
      <c r="G206" s="21" t="n"/>
      <c r="H206" s="15">
        <f>IF(F206="","",F206-N(G206))</f>
        <v/>
      </c>
      <c r="I206">
        <f>IF(OR(F206="",E206=""),"",MAX(0,Parametros!$B$1-E206))</f>
        <v/>
      </c>
      <c r="J206">
        <f>IF(OR(H206="",I206=""),"",IF(H206&lt;=0,"Pagada",IF(I206=0,"No vencida",IF(I206&lt;=30,"1-30",IF(I206&lt;=60,"31-60",IF(I206&lt;=90,"61-90",IF(I206&lt;=180,"91-180",IF(I206&lt;=360,"181-360","Más de 360"))))))))</f>
        <v/>
      </c>
      <c r="K206" s="14">
        <f>IF(OR(J206="",J206="Pagada"),"",VLOOKUP(J206,Parametros!$A$4:$B$10,2,FALSE))</f>
        <v/>
      </c>
      <c r="L206" s="15">
        <f>IF(K206="","",H206*K206)</f>
        <v/>
      </c>
    </row>
    <row r="207">
      <c r="A207" s="20" t="n"/>
      <c r="B207" s="20" t="n"/>
      <c r="C207" s="20" t="n"/>
      <c r="D207" s="16" t="n"/>
      <c r="E207" s="16" t="n"/>
      <c r="F207" s="21" t="n"/>
      <c r="G207" s="21" t="n"/>
      <c r="H207" s="15">
        <f>IF(F207="","",F207-N(G207))</f>
        <v/>
      </c>
      <c r="I207">
        <f>IF(OR(F207="",E207=""),"",MAX(0,Parametros!$B$1-E207))</f>
        <v/>
      </c>
      <c r="J207">
        <f>IF(OR(H207="",I207=""),"",IF(H207&lt;=0,"Pagada",IF(I207=0,"No vencida",IF(I207&lt;=30,"1-30",IF(I207&lt;=60,"31-60",IF(I207&lt;=90,"61-90",IF(I207&lt;=180,"91-180",IF(I207&lt;=360,"181-360","Más de 360"))))))))</f>
        <v/>
      </c>
      <c r="K207" s="14">
        <f>IF(OR(J207="",J207="Pagada"),"",VLOOKUP(J207,Parametros!$A$4:$B$10,2,FALSE))</f>
        <v/>
      </c>
      <c r="L207" s="15">
        <f>IF(K207="","",H207*K207)</f>
        <v/>
      </c>
    </row>
    <row r="208">
      <c r="A208" s="20" t="n"/>
      <c r="B208" s="20" t="n"/>
      <c r="C208" s="20" t="n"/>
      <c r="D208" s="16" t="n"/>
      <c r="E208" s="16" t="n"/>
      <c r="F208" s="21" t="n"/>
      <c r="G208" s="21" t="n"/>
      <c r="H208" s="15">
        <f>IF(F208="","",F208-N(G208))</f>
        <v/>
      </c>
      <c r="I208">
        <f>IF(OR(F208="",E208=""),"",MAX(0,Parametros!$B$1-E208))</f>
        <v/>
      </c>
      <c r="J208">
        <f>IF(OR(H208="",I208=""),"",IF(H208&lt;=0,"Pagada",IF(I208=0,"No vencida",IF(I208&lt;=30,"1-30",IF(I208&lt;=60,"31-60",IF(I208&lt;=90,"61-90",IF(I208&lt;=180,"91-180",IF(I208&lt;=360,"181-360","Más de 360"))))))))</f>
        <v/>
      </c>
      <c r="K208" s="14">
        <f>IF(OR(J208="",J208="Pagada"),"",VLOOKUP(J208,Parametros!$A$4:$B$10,2,FALSE))</f>
        <v/>
      </c>
      <c r="L208" s="15">
        <f>IF(K208="","",H208*K208)</f>
        <v/>
      </c>
    </row>
    <row r="209">
      <c r="A209" s="20" t="n"/>
      <c r="B209" s="20" t="n"/>
      <c r="C209" s="20" t="n"/>
      <c r="D209" s="16" t="n"/>
      <c r="E209" s="16" t="n"/>
      <c r="F209" s="21" t="n"/>
      <c r="G209" s="21" t="n"/>
      <c r="H209" s="15">
        <f>IF(F209="","",F209-N(G209))</f>
        <v/>
      </c>
      <c r="I209">
        <f>IF(OR(F209="",E209=""),"",MAX(0,Parametros!$B$1-E209))</f>
        <v/>
      </c>
      <c r="J209">
        <f>IF(OR(H209="",I209=""),"",IF(H209&lt;=0,"Pagada",IF(I209=0,"No vencida",IF(I209&lt;=30,"1-30",IF(I209&lt;=60,"31-60",IF(I209&lt;=90,"61-90",IF(I209&lt;=180,"91-180",IF(I209&lt;=360,"181-360","Más de 360"))))))))</f>
        <v/>
      </c>
      <c r="K209" s="14">
        <f>IF(OR(J209="",J209="Pagada"),"",VLOOKUP(J209,Parametros!$A$4:$B$10,2,FALSE))</f>
        <v/>
      </c>
      <c r="L209" s="15">
        <f>IF(K209="","",H209*K209)</f>
        <v/>
      </c>
    </row>
    <row r="210">
      <c r="A210" s="20" t="n"/>
      <c r="B210" s="20" t="n"/>
      <c r="C210" s="20" t="n"/>
      <c r="D210" s="16" t="n"/>
      <c r="E210" s="16" t="n"/>
      <c r="F210" s="21" t="n"/>
      <c r="G210" s="21" t="n"/>
      <c r="H210" s="15">
        <f>IF(F210="","",F210-N(G210))</f>
        <v/>
      </c>
      <c r="I210">
        <f>IF(OR(F210="",E210=""),"",MAX(0,Parametros!$B$1-E210))</f>
        <v/>
      </c>
      <c r="J210">
        <f>IF(OR(H210="",I210=""),"",IF(H210&lt;=0,"Pagada",IF(I210=0,"No vencida",IF(I210&lt;=30,"1-30",IF(I210&lt;=60,"31-60",IF(I210&lt;=90,"61-90",IF(I210&lt;=180,"91-180",IF(I210&lt;=360,"181-360","Más de 360"))))))))</f>
        <v/>
      </c>
      <c r="K210" s="14">
        <f>IF(OR(J210="",J210="Pagada"),"",VLOOKUP(J210,Parametros!$A$4:$B$10,2,FALSE))</f>
        <v/>
      </c>
      <c r="L210" s="15">
        <f>IF(K210="","",H210*K210)</f>
        <v/>
      </c>
    </row>
    <row r="211">
      <c r="A211" s="20" t="n"/>
      <c r="B211" s="20" t="n"/>
      <c r="C211" s="20" t="n"/>
      <c r="D211" s="16" t="n"/>
      <c r="E211" s="16" t="n"/>
      <c r="F211" s="21" t="n"/>
      <c r="G211" s="21" t="n"/>
      <c r="H211" s="15">
        <f>IF(F211="","",F211-N(G211))</f>
        <v/>
      </c>
      <c r="I211">
        <f>IF(OR(F211="",E211=""),"",MAX(0,Parametros!$B$1-E211))</f>
        <v/>
      </c>
      <c r="J211">
        <f>IF(OR(H211="",I211=""),"",IF(H211&lt;=0,"Pagada",IF(I211=0,"No vencida",IF(I211&lt;=30,"1-30",IF(I211&lt;=60,"31-60",IF(I211&lt;=90,"61-90",IF(I211&lt;=180,"91-180",IF(I211&lt;=360,"181-360","Más de 360"))))))))</f>
        <v/>
      </c>
      <c r="K211" s="14">
        <f>IF(OR(J211="",J211="Pagada"),"",VLOOKUP(J211,Parametros!$A$4:$B$10,2,FALSE))</f>
        <v/>
      </c>
      <c r="L211" s="15">
        <f>IF(K211="","",H211*K211)</f>
        <v/>
      </c>
    </row>
    <row r="212">
      <c r="A212" s="20" t="n"/>
      <c r="B212" s="20" t="n"/>
      <c r="C212" s="20" t="n"/>
      <c r="D212" s="16" t="n"/>
      <c r="E212" s="16" t="n"/>
      <c r="F212" s="21" t="n"/>
      <c r="G212" s="21" t="n"/>
      <c r="H212" s="15">
        <f>IF(F212="","",F212-N(G212))</f>
        <v/>
      </c>
      <c r="I212">
        <f>IF(OR(F212="",E212=""),"",MAX(0,Parametros!$B$1-E212))</f>
        <v/>
      </c>
      <c r="J212">
        <f>IF(OR(H212="",I212=""),"",IF(H212&lt;=0,"Pagada",IF(I212=0,"No vencida",IF(I212&lt;=30,"1-30",IF(I212&lt;=60,"31-60",IF(I212&lt;=90,"61-90",IF(I212&lt;=180,"91-180",IF(I212&lt;=360,"181-360","Más de 360"))))))))</f>
        <v/>
      </c>
      <c r="K212" s="14">
        <f>IF(OR(J212="",J212="Pagada"),"",VLOOKUP(J212,Parametros!$A$4:$B$10,2,FALSE))</f>
        <v/>
      </c>
      <c r="L212" s="15">
        <f>IF(K212="","",H212*K212)</f>
        <v/>
      </c>
    </row>
    <row r="213">
      <c r="A213" s="20" t="n"/>
      <c r="B213" s="20" t="n"/>
      <c r="C213" s="20" t="n"/>
      <c r="D213" s="16" t="n"/>
      <c r="E213" s="16" t="n"/>
      <c r="F213" s="21" t="n"/>
      <c r="G213" s="21" t="n"/>
      <c r="H213" s="15">
        <f>IF(F213="","",F213-N(G213))</f>
        <v/>
      </c>
      <c r="I213">
        <f>IF(OR(F213="",E213=""),"",MAX(0,Parametros!$B$1-E213))</f>
        <v/>
      </c>
      <c r="J213">
        <f>IF(OR(H213="",I213=""),"",IF(H213&lt;=0,"Pagada",IF(I213=0,"No vencida",IF(I213&lt;=30,"1-30",IF(I213&lt;=60,"31-60",IF(I213&lt;=90,"61-90",IF(I213&lt;=180,"91-180",IF(I213&lt;=360,"181-360","Más de 360"))))))))</f>
        <v/>
      </c>
      <c r="K213" s="14">
        <f>IF(OR(J213="",J213="Pagada"),"",VLOOKUP(J213,Parametros!$A$4:$B$10,2,FALSE))</f>
        <v/>
      </c>
      <c r="L213" s="15">
        <f>IF(K213="","",H213*K213)</f>
        <v/>
      </c>
    </row>
    <row r="214">
      <c r="A214" s="20" t="n"/>
      <c r="B214" s="20" t="n"/>
      <c r="C214" s="20" t="n"/>
      <c r="D214" s="16" t="n"/>
      <c r="E214" s="16" t="n"/>
      <c r="F214" s="21" t="n"/>
      <c r="G214" s="21" t="n"/>
      <c r="H214" s="15">
        <f>IF(F214="","",F214-N(G214))</f>
        <v/>
      </c>
      <c r="I214">
        <f>IF(OR(F214="",E214=""),"",MAX(0,Parametros!$B$1-E214))</f>
        <v/>
      </c>
      <c r="J214">
        <f>IF(OR(H214="",I214=""),"",IF(H214&lt;=0,"Pagada",IF(I214=0,"No vencida",IF(I214&lt;=30,"1-30",IF(I214&lt;=60,"31-60",IF(I214&lt;=90,"61-90",IF(I214&lt;=180,"91-180",IF(I214&lt;=360,"181-360","Más de 360"))))))))</f>
        <v/>
      </c>
      <c r="K214" s="14">
        <f>IF(OR(J214="",J214="Pagada"),"",VLOOKUP(J214,Parametros!$A$4:$B$10,2,FALSE))</f>
        <v/>
      </c>
      <c r="L214" s="15">
        <f>IF(K214="","",H214*K214)</f>
        <v/>
      </c>
    </row>
    <row r="215">
      <c r="A215" s="20" t="n"/>
      <c r="B215" s="20" t="n"/>
      <c r="C215" s="20" t="n"/>
      <c r="D215" s="16" t="n"/>
      <c r="E215" s="16" t="n"/>
      <c r="F215" s="21" t="n"/>
      <c r="G215" s="21" t="n"/>
      <c r="H215" s="15">
        <f>IF(F215="","",F215-N(G215))</f>
        <v/>
      </c>
      <c r="I215">
        <f>IF(OR(F215="",E215=""),"",MAX(0,Parametros!$B$1-E215))</f>
        <v/>
      </c>
      <c r="J215">
        <f>IF(OR(H215="",I215=""),"",IF(H215&lt;=0,"Pagada",IF(I215=0,"No vencida",IF(I215&lt;=30,"1-30",IF(I215&lt;=60,"31-60",IF(I215&lt;=90,"61-90",IF(I215&lt;=180,"91-180",IF(I215&lt;=360,"181-360","Más de 360"))))))))</f>
        <v/>
      </c>
      <c r="K215" s="14">
        <f>IF(OR(J215="",J215="Pagada"),"",VLOOKUP(J215,Parametros!$A$4:$B$10,2,FALSE))</f>
        <v/>
      </c>
      <c r="L215" s="15">
        <f>IF(K215="","",H215*K215)</f>
        <v/>
      </c>
    </row>
    <row r="216">
      <c r="A216" s="20" t="n"/>
      <c r="B216" s="20" t="n"/>
      <c r="C216" s="20" t="n"/>
      <c r="D216" s="16" t="n"/>
      <c r="E216" s="16" t="n"/>
      <c r="F216" s="21" t="n"/>
      <c r="G216" s="21" t="n"/>
      <c r="H216" s="15">
        <f>IF(F216="","",F216-N(G216))</f>
        <v/>
      </c>
      <c r="I216">
        <f>IF(OR(F216="",E216=""),"",MAX(0,Parametros!$B$1-E216))</f>
        <v/>
      </c>
      <c r="J216">
        <f>IF(OR(H216="",I216=""),"",IF(H216&lt;=0,"Pagada",IF(I216=0,"No vencida",IF(I216&lt;=30,"1-30",IF(I216&lt;=60,"31-60",IF(I216&lt;=90,"61-90",IF(I216&lt;=180,"91-180",IF(I216&lt;=360,"181-360","Más de 360"))))))))</f>
        <v/>
      </c>
      <c r="K216" s="14">
        <f>IF(OR(J216="",J216="Pagada"),"",VLOOKUP(J216,Parametros!$A$4:$B$10,2,FALSE))</f>
        <v/>
      </c>
      <c r="L216" s="15">
        <f>IF(K216="","",H216*K216)</f>
        <v/>
      </c>
    </row>
    <row r="217">
      <c r="A217" s="20" t="n"/>
      <c r="B217" s="20" t="n"/>
      <c r="C217" s="20" t="n"/>
      <c r="D217" s="16" t="n"/>
      <c r="E217" s="16" t="n"/>
      <c r="F217" s="21" t="n"/>
      <c r="G217" s="21" t="n"/>
      <c r="H217" s="15">
        <f>IF(F217="","",F217-N(G217))</f>
        <v/>
      </c>
      <c r="I217">
        <f>IF(OR(F217="",E217=""),"",MAX(0,Parametros!$B$1-E217))</f>
        <v/>
      </c>
      <c r="J217">
        <f>IF(OR(H217="",I217=""),"",IF(H217&lt;=0,"Pagada",IF(I217=0,"No vencida",IF(I217&lt;=30,"1-30",IF(I217&lt;=60,"31-60",IF(I217&lt;=90,"61-90",IF(I217&lt;=180,"91-180",IF(I217&lt;=360,"181-360","Más de 360"))))))))</f>
        <v/>
      </c>
      <c r="K217" s="14">
        <f>IF(OR(J217="",J217="Pagada"),"",VLOOKUP(J217,Parametros!$A$4:$B$10,2,FALSE))</f>
        <v/>
      </c>
      <c r="L217" s="15">
        <f>IF(K217="","",H217*K217)</f>
        <v/>
      </c>
    </row>
    <row r="218">
      <c r="A218" s="20" t="n"/>
      <c r="B218" s="20" t="n"/>
      <c r="C218" s="20" t="n"/>
      <c r="D218" s="16" t="n"/>
      <c r="E218" s="16" t="n"/>
      <c r="F218" s="21" t="n"/>
      <c r="G218" s="21" t="n"/>
      <c r="H218" s="15">
        <f>IF(F218="","",F218-N(G218))</f>
        <v/>
      </c>
      <c r="I218">
        <f>IF(OR(F218="",E218=""),"",MAX(0,Parametros!$B$1-E218))</f>
        <v/>
      </c>
      <c r="J218">
        <f>IF(OR(H218="",I218=""),"",IF(H218&lt;=0,"Pagada",IF(I218=0,"No vencida",IF(I218&lt;=30,"1-30",IF(I218&lt;=60,"31-60",IF(I218&lt;=90,"61-90",IF(I218&lt;=180,"91-180",IF(I218&lt;=360,"181-360","Más de 360"))))))))</f>
        <v/>
      </c>
      <c r="K218" s="14">
        <f>IF(OR(J218="",J218="Pagada"),"",VLOOKUP(J218,Parametros!$A$4:$B$10,2,FALSE))</f>
        <v/>
      </c>
      <c r="L218" s="15">
        <f>IF(K218="","",H218*K218)</f>
        <v/>
      </c>
    </row>
    <row r="219">
      <c r="A219" s="20" t="n"/>
      <c r="B219" s="20" t="n"/>
      <c r="C219" s="20" t="n"/>
      <c r="D219" s="16" t="n"/>
      <c r="E219" s="16" t="n"/>
      <c r="F219" s="21" t="n"/>
      <c r="G219" s="21" t="n"/>
      <c r="H219" s="15">
        <f>IF(F219="","",F219-N(G219))</f>
        <v/>
      </c>
      <c r="I219">
        <f>IF(OR(F219="",E219=""),"",MAX(0,Parametros!$B$1-E219))</f>
        <v/>
      </c>
      <c r="J219">
        <f>IF(OR(H219="",I219=""),"",IF(H219&lt;=0,"Pagada",IF(I219=0,"No vencida",IF(I219&lt;=30,"1-30",IF(I219&lt;=60,"31-60",IF(I219&lt;=90,"61-90",IF(I219&lt;=180,"91-180",IF(I219&lt;=360,"181-360","Más de 360"))))))))</f>
        <v/>
      </c>
      <c r="K219" s="14">
        <f>IF(OR(J219="",J219="Pagada"),"",VLOOKUP(J219,Parametros!$A$4:$B$10,2,FALSE))</f>
        <v/>
      </c>
      <c r="L219" s="15">
        <f>IF(K219="","",H219*K219)</f>
        <v/>
      </c>
    </row>
    <row r="220">
      <c r="A220" s="20" t="n"/>
      <c r="B220" s="20" t="n"/>
      <c r="C220" s="20" t="n"/>
      <c r="D220" s="16" t="n"/>
      <c r="E220" s="16" t="n"/>
      <c r="F220" s="21" t="n"/>
      <c r="G220" s="21" t="n"/>
      <c r="H220" s="15">
        <f>IF(F220="","",F220-N(G220))</f>
        <v/>
      </c>
      <c r="I220">
        <f>IF(OR(F220="",E220=""),"",MAX(0,Parametros!$B$1-E220))</f>
        <v/>
      </c>
      <c r="J220">
        <f>IF(OR(H220="",I220=""),"",IF(H220&lt;=0,"Pagada",IF(I220=0,"No vencida",IF(I220&lt;=30,"1-30",IF(I220&lt;=60,"31-60",IF(I220&lt;=90,"61-90",IF(I220&lt;=180,"91-180",IF(I220&lt;=360,"181-360","Más de 360"))))))))</f>
        <v/>
      </c>
      <c r="K220" s="14">
        <f>IF(OR(J220="",J220="Pagada"),"",VLOOKUP(J220,Parametros!$A$4:$B$10,2,FALSE))</f>
        <v/>
      </c>
      <c r="L220" s="15">
        <f>IF(K220="","",H220*K220)</f>
        <v/>
      </c>
    </row>
    <row r="221">
      <c r="A221" s="20" t="n"/>
      <c r="B221" s="20" t="n"/>
      <c r="C221" s="20" t="n"/>
      <c r="D221" s="16" t="n"/>
      <c r="E221" s="16" t="n"/>
      <c r="F221" s="21" t="n"/>
      <c r="G221" s="21" t="n"/>
      <c r="H221" s="15">
        <f>IF(F221="","",F221-N(G221))</f>
        <v/>
      </c>
      <c r="I221">
        <f>IF(OR(F221="",E221=""),"",MAX(0,Parametros!$B$1-E221))</f>
        <v/>
      </c>
      <c r="J221">
        <f>IF(OR(H221="",I221=""),"",IF(H221&lt;=0,"Pagada",IF(I221=0,"No vencida",IF(I221&lt;=30,"1-30",IF(I221&lt;=60,"31-60",IF(I221&lt;=90,"61-90",IF(I221&lt;=180,"91-180",IF(I221&lt;=360,"181-360","Más de 360"))))))))</f>
        <v/>
      </c>
      <c r="K221" s="14">
        <f>IF(OR(J221="",J221="Pagada"),"",VLOOKUP(J221,Parametros!$A$4:$B$10,2,FALSE))</f>
        <v/>
      </c>
      <c r="L221" s="15">
        <f>IF(K221="","",H221*K221)</f>
        <v/>
      </c>
    </row>
    <row r="222">
      <c r="A222" s="20" t="n"/>
      <c r="B222" s="20" t="n"/>
      <c r="C222" s="20" t="n"/>
      <c r="D222" s="16" t="n"/>
      <c r="E222" s="16" t="n"/>
      <c r="F222" s="21" t="n"/>
      <c r="G222" s="21" t="n"/>
      <c r="H222" s="15">
        <f>IF(F222="","",F222-N(G222))</f>
        <v/>
      </c>
      <c r="I222">
        <f>IF(OR(F222="",E222=""),"",MAX(0,Parametros!$B$1-E222))</f>
        <v/>
      </c>
      <c r="J222">
        <f>IF(OR(H222="",I222=""),"",IF(H222&lt;=0,"Pagada",IF(I222=0,"No vencida",IF(I222&lt;=30,"1-30",IF(I222&lt;=60,"31-60",IF(I222&lt;=90,"61-90",IF(I222&lt;=180,"91-180",IF(I222&lt;=360,"181-360","Más de 360"))))))))</f>
        <v/>
      </c>
      <c r="K222" s="14">
        <f>IF(OR(J222="",J222="Pagada"),"",VLOOKUP(J222,Parametros!$A$4:$B$10,2,FALSE))</f>
        <v/>
      </c>
      <c r="L222" s="15">
        <f>IF(K222="","",H222*K222)</f>
        <v/>
      </c>
    </row>
    <row r="223">
      <c r="A223" s="20" t="n"/>
      <c r="B223" s="20" t="n"/>
      <c r="C223" s="20" t="n"/>
      <c r="D223" s="16" t="n"/>
      <c r="E223" s="16" t="n"/>
      <c r="F223" s="21" t="n"/>
      <c r="G223" s="21" t="n"/>
      <c r="H223" s="15">
        <f>IF(F223="","",F223-N(G223))</f>
        <v/>
      </c>
      <c r="I223">
        <f>IF(OR(F223="",E223=""),"",MAX(0,Parametros!$B$1-E223))</f>
        <v/>
      </c>
      <c r="J223">
        <f>IF(OR(H223="",I223=""),"",IF(H223&lt;=0,"Pagada",IF(I223=0,"No vencida",IF(I223&lt;=30,"1-30",IF(I223&lt;=60,"31-60",IF(I223&lt;=90,"61-90",IF(I223&lt;=180,"91-180",IF(I223&lt;=360,"181-360","Más de 360"))))))))</f>
        <v/>
      </c>
      <c r="K223" s="14">
        <f>IF(OR(J223="",J223="Pagada"),"",VLOOKUP(J223,Parametros!$A$4:$B$10,2,FALSE))</f>
        <v/>
      </c>
      <c r="L223" s="15">
        <f>IF(K223="","",H223*K223)</f>
        <v/>
      </c>
    </row>
    <row r="224">
      <c r="A224" s="20" t="n"/>
      <c r="B224" s="20" t="n"/>
      <c r="C224" s="20" t="n"/>
      <c r="D224" s="16" t="n"/>
      <c r="E224" s="16" t="n"/>
      <c r="F224" s="21" t="n"/>
      <c r="G224" s="21" t="n"/>
      <c r="H224" s="15">
        <f>IF(F224="","",F224-N(G224))</f>
        <v/>
      </c>
      <c r="I224">
        <f>IF(OR(F224="",E224=""),"",MAX(0,Parametros!$B$1-E224))</f>
        <v/>
      </c>
      <c r="J224">
        <f>IF(OR(H224="",I224=""),"",IF(H224&lt;=0,"Pagada",IF(I224=0,"No vencida",IF(I224&lt;=30,"1-30",IF(I224&lt;=60,"31-60",IF(I224&lt;=90,"61-90",IF(I224&lt;=180,"91-180",IF(I224&lt;=360,"181-360","Más de 360"))))))))</f>
        <v/>
      </c>
      <c r="K224" s="14">
        <f>IF(OR(J224="",J224="Pagada"),"",VLOOKUP(J224,Parametros!$A$4:$B$10,2,FALSE))</f>
        <v/>
      </c>
      <c r="L224" s="15">
        <f>IF(K224="","",H224*K224)</f>
        <v/>
      </c>
    </row>
    <row r="225">
      <c r="A225" s="20" t="n"/>
      <c r="B225" s="20" t="n"/>
      <c r="C225" s="20" t="n"/>
      <c r="D225" s="16" t="n"/>
      <c r="E225" s="16" t="n"/>
      <c r="F225" s="21" t="n"/>
      <c r="G225" s="21" t="n"/>
      <c r="H225" s="15">
        <f>IF(F225="","",F225-N(G225))</f>
        <v/>
      </c>
      <c r="I225">
        <f>IF(OR(F225="",E225=""),"",MAX(0,Parametros!$B$1-E225))</f>
        <v/>
      </c>
      <c r="J225">
        <f>IF(OR(H225="",I225=""),"",IF(H225&lt;=0,"Pagada",IF(I225=0,"No vencida",IF(I225&lt;=30,"1-30",IF(I225&lt;=60,"31-60",IF(I225&lt;=90,"61-90",IF(I225&lt;=180,"91-180",IF(I225&lt;=360,"181-360","Más de 360"))))))))</f>
        <v/>
      </c>
      <c r="K225" s="14">
        <f>IF(OR(J225="",J225="Pagada"),"",VLOOKUP(J225,Parametros!$A$4:$B$10,2,FALSE))</f>
        <v/>
      </c>
      <c r="L225" s="15">
        <f>IF(K225="","",H225*K225)</f>
        <v/>
      </c>
    </row>
    <row r="226">
      <c r="A226" s="20" t="n"/>
      <c r="B226" s="20" t="n"/>
      <c r="C226" s="20" t="n"/>
      <c r="D226" s="16" t="n"/>
      <c r="E226" s="16" t="n"/>
      <c r="F226" s="21" t="n"/>
      <c r="G226" s="21" t="n"/>
      <c r="H226" s="15">
        <f>IF(F226="","",F226-N(G226))</f>
        <v/>
      </c>
      <c r="I226">
        <f>IF(OR(F226="",E226=""),"",MAX(0,Parametros!$B$1-E226))</f>
        <v/>
      </c>
      <c r="J226">
        <f>IF(OR(H226="",I226=""),"",IF(H226&lt;=0,"Pagada",IF(I226=0,"No vencida",IF(I226&lt;=30,"1-30",IF(I226&lt;=60,"31-60",IF(I226&lt;=90,"61-90",IF(I226&lt;=180,"91-180",IF(I226&lt;=360,"181-360","Más de 360"))))))))</f>
        <v/>
      </c>
      <c r="K226" s="14">
        <f>IF(OR(J226="",J226="Pagada"),"",VLOOKUP(J226,Parametros!$A$4:$B$10,2,FALSE))</f>
        <v/>
      </c>
      <c r="L226" s="15">
        <f>IF(K226="","",H226*K226)</f>
        <v/>
      </c>
    </row>
    <row r="227">
      <c r="A227" s="20" t="n"/>
      <c r="B227" s="20" t="n"/>
      <c r="C227" s="20" t="n"/>
      <c r="D227" s="16" t="n"/>
      <c r="E227" s="16" t="n"/>
      <c r="F227" s="21" t="n"/>
      <c r="G227" s="21" t="n"/>
      <c r="H227" s="15">
        <f>IF(F227="","",F227-N(G227))</f>
        <v/>
      </c>
      <c r="I227">
        <f>IF(OR(F227="",E227=""),"",MAX(0,Parametros!$B$1-E227))</f>
        <v/>
      </c>
      <c r="J227">
        <f>IF(OR(H227="",I227=""),"",IF(H227&lt;=0,"Pagada",IF(I227=0,"No vencida",IF(I227&lt;=30,"1-30",IF(I227&lt;=60,"31-60",IF(I227&lt;=90,"61-90",IF(I227&lt;=180,"91-180",IF(I227&lt;=360,"181-360","Más de 360"))))))))</f>
        <v/>
      </c>
      <c r="K227" s="14">
        <f>IF(OR(J227="",J227="Pagada"),"",VLOOKUP(J227,Parametros!$A$4:$B$10,2,FALSE))</f>
        <v/>
      </c>
      <c r="L227" s="15">
        <f>IF(K227="","",H227*K227)</f>
        <v/>
      </c>
    </row>
    <row r="228">
      <c r="A228" s="20" t="n"/>
      <c r="B228" s="20" t="n"/>
      <c r="C228" s="20" t="n"/>
      <c r="D228" s="16" t="n"/>
      <c r="E228" s="16" t="n"/>
      <c r="F228" s="21" t="n"/>
      <c r="G228" s="21" t="n"/>
      <c r="H228" s="15">
        <f>IF(F228="","",F228-N(G228))</f>
        <v/>
      </c>
      <c r="I228">
        <f>IF(OR(F228="",E228=""),"",MAX(0,Parametros!$B$1-E228))</f>
        <v/>
      </c>
      <c r="J228">
        <f>IF(OR(H228="",I228=""),"",IF(H228&lt;=0,"Pagada",IF(I228=0,"No vencida",IF(I228&lt;=30,"1-30",IF(I228&lt;=60,"31-60",IF(I228&lt;=90,"61-90",IF(I228&lt;=180,"91-180",IF(I228&lt;=360,"181-360","Más de 360"))))))))</f>
        <v/>
      </c>
      <c r="K228" s="14">
        <f>IF(OR(J228="",J228="Pagada"),"",VLOOKUP(J228,Parametros!$A$4:$B$10,2,FALSE))</f>
        <v/>
      </c>
      <c r="L228" s="15">
        <f>IF(K228="","",H228*K228)</f>
        <v/>
      </c>
    </row>
    <row r="229">
      <c r="A229" s="20" t="n"/>
      <c r="B229" s="20" t="n"/>
      <c r="C229" s="20" t="n"/>
      <c r="D229" s="16" t="n"/>
      <c r="E229" s="16" t="n"/>
      <c r="F229" s="21" t="n"/>
      <c r="G229" s="21" t="n"/>
      <c r="H229" s="15">
        <f>IF(F229="","",F229-N(G229))</f>
        <v/>
      </c>
      <c r="I229">
        <f>IF(OR(F229="",E229=""),"",MAX(0,Parametros!$B$1-E229))</f>
        <v/>
      </c>
      <c r="J229">
        <f>IF(OR(H229="",I229=""),"",IF(H229&lt;=0,"Pagada",IF(I229=0,"No vencida",IF(I229&lt;=30,"1-30",IF(I229&lt;=60,"31-60",IF(I229&lt;=90,"61-90",IF(I229&lt;=180,"91-180",IF(I229&lt;=360,"181-360","Más de 360"))))))))</f>
        <v/>
      </c>
      <c r="K229" s="14">
        <f>IF(OR(J229="",J229="Pagada"),"",VLOOKUP(J229,Parametros!$A$4:$B$10,2,FALSE))</f>
        <v/>
      </c>
      <c r="L229" s="15">
        <f>IF(K229="","",H229*K229)</f>
        <v/>
      </c>
    </row>
    <row r="230">
      <c r="A230" s="20" t="n"/>
      <c r="B230" s="20" t="n"/>
      <c r="C230" s="20" t="n"/>
      <c r="D230" s="16" t="n"/>
      <c r="E230" s="16" t="n"/>
      <c r="F230" s="21" t="n"/>
      <c r="G230" s="21" t="n"/>
      <c r="H230" s="15">
        <f>IF(F230="","",F230-N(G230))</f>
        <v/>
      </c>
      <c r="I230">
        <f>IF(OR(F230="",E230=""),"",MAX(0,Parametros!$B$1-E230))</f>
        <v/>
      </c>
      <c r="J230">
        <f>IF(OR(H230="",I230=""),"",IF(H230&lt;=0,"Pagada",IF(I230=0,"No vencida",IF(I230&lt;=30,"1-30",IF(I230&lt;=60,"31-60",IF(I230&lt;=90,"61-90",IF(I230&lt;=180,"91-180",IF(I230&lt;=360,"181-360","Más de 360"))))))))</f>
        <v/>
      </c>
      <c r="K230" s="14">
        <f>IF(OR(J230="",J230="Pagada"),"",VLOOKUP(J230,Parametros!$A$4:$B$10,2,FALSE))</f>
        <v/>
      </c>
      <c r="L230" s="15">
        <f>IF(K230="","",H230*K230)</f>
        <v/>
      </c>
    </row>
    <row r="231">
      <c r="A231" s="20" t="n"/>
      <c r="B231" s="20" t="n"/>
      <c r="C231" s="20" t="n"/>
      <c r="D231" s="16" t="n"/>
      <c r="E231" s="16" t="n"/>
      <c r="F231" s="21" t="n"/>
      <c r="G231" s="21" t="n"/>
      <c r="H231" s="15">
        <f>IF(F231="","",F231-N(G231))</f>
        <v/>
      </c>
      <c r="I231">
        <f>IF(OR(F231="",E231=""),"",MAX(0,Parametros!$B$1-E231))</f>
        <v/>
      </c>
      <c r="J231">
        <f>IF(OR(H231="",I231=""),"",IF(H231&lt;=0,"Pagada",IF(I231=0,"No vencida",IF(I231&lt;=30,"1-30",IF(I231&lt;=60,"31-60",IF(I231&lt;=90,"61-90",IF(I231&lt;=180,"91-180",IF(I231&lt;=360,"181-360","Más de 360"))))))))</f>
        <v/>
      </c>
      <c r="K231" s="14">
        <f>IF(OR(J231="",J231="Pagada"),"",VLOOKUP(J231,Parametros!$A$4:$B$10,2,FALSE))</f>
        <v/>
      </c>
      <c r="L231" s="15">
        <f>IF(K231="","",H231*K231)</f>
        <v/>
      </c>
    </row>
    <row r="232">
      <c r="A232" s="20" t="n"/>
      <c r="B232" s="20" t="n"/>
      <c r="C232" s="20" t="n"/>
      <c r="D232" s="16" t="n"/>
      <c r="E232" s="16" t="n"/>
      <c r="F232" s="21" t="n"/>
      <c r="G232" s="21" t="n"/>
      <c r="H232" s="15">
        <f>IF(F232="","",F232-N(G232))</f>
        <v/>
      </c>
      <c r="I232">
        <f>IF(OR(F232="",E232=""),"",MAX(0,Parametros!$B$1-E232))</f>
        <v/>
      </c>
      <c r="J232">
        <f>IF(OR(H232="",I232=""),"",IF(H232&lt;=0,"Pagada",IF(I232=0,"No vencida",IF(I232&lt;=30,"1-30",IF(I232&lt;=60,"31-60",IF(I232&lt;=90,"61-90",IF(I232&lt;=180,"91-180",IF(I232&lt;=360,"181-360","Más de 360"))))))))</f>
        <v/>
      </c>
      <c r="K232" s="14">
        <f>IF(OR(J232="",J232="Pagada"),"",VLOOKUP(J232,Parametros!$A$4:$B$10,2,FALSE))</f>
        <v/>
      </c>
      <c r="L232" s="15">
        <f>IF(K232="","",H232*K232)</f>
        <v/>
      </c>
    </row>
    <row r="233">
      <c r="A233" s="20" t="n"/>
      <c r="B233" s="20" t="n"/>
      <c r="C233" s="20" t="n"/>
      <c r="D233" s="16" t="n"/>
      <c r="E233" s="16" t="n"/>
      <c r="F233" s="21" t="n"/>
      <c r="G233" s="21" t="n"/>
      <c r="H233" s="15">
        <f>IF(F233="","",F233-N(G233))</f>
        <v/>
      </c>
      <c r="I233">
        <f>IF(OR(F233="",E233=""),"",MAX(0,Parametros!$B$1-E233))</f>
        <v/>
      </c>
      <c r="J233">
        <f>IF(OR(H233="",I233=""),"",IF(H233&lt;=0,"Pagada",IF(I233=0,"No vencida",IF(I233&lt;=30,"1-30",IF(I233&lt;=60,"31-60",IF(I233&lt;=90,"61-90",IF(I233&lt;=180,"91-180",IF(I233&lt;=360,"181-360","Más de 360"))))))))</f>
        <v/>
      </c>
      <c r="K233" s="14">
        <f>IF(OR(J233="",J233="Pagada"),"",VLOOKUP(J233,Parametros!$A$4:$B$10,2,FALSE))</f>
        <v/>
      </c>
      <c r="L233" s="15">
        <f>IF(K233="","",H233*K233)</f>
        <v/>
      </c>
    </row>
    <row r="234">
      <c r="A234" s="20" t="n"/>
      <c r="B234" s="20" t="n"/>
      <c r="C234" s="20" t="n"/>
      <c r="D234" s="16" t="n"/>
      <c r="E234" s="16" t="n"/>
      <c r="F234" s="21" t="n"/>
      <c r="G234" s="21" t="n"/>
      <c r="H234" s="15">
        <f>IF(F234="","",F234-N(G234))</f>
        <v/>
      </c>
      <c r="I234">
        <f>IF(OR(F234="",E234=""),"",MAX(0,Parametros!$B$1-E234))</f>
        <v/>
      </c>
      <c r="J234">
        <f>IF(OR(H234="",I234=""),"",IF(H234&lt;=0,"Pagada",IF(I234=0,"No vencida",IF(I234&lt;=30,"1-30",IF(I234&lt;=60,"31-60",IF(I234&lt;=90,"61-90",IF(I234&lt;=180,"91-180",IF(I234&lt;=360,"181-360","Más de 360"))))))))</f>
        <v/>
      </c>
      <c r="K234" s="14">
        <f>IF(OR(J234="",J234="Pagada"),"",VLOOKUP(J234,Parametros!$A$4:$B$10,2,FALSE))</f>
        <v/>
      </c>
      <c r="L234" s="15">
        <f>IF(K234="","",H234*K234)</f>
        <v/>
      </c>
    </row>
    <row r="235">
      <c r="A235" s="20" t="n"/>
      <c r="B235" s="20" t="n"/>
      <c r="C235" s="20" t="n"/>
      <c r="D235" s="16" t="n"/>
      <c r="E235" s="16" t="n"/>
      <c r="F235" s="21" t="n"/>
      <c r="G235" s="21" t="n"/>
      <c r="H235" s="15">
        <f>IF(F235="","",F235-N(G235))</f>
        <v/>
      </c>
      <c r="I235">
        <f>IF(OR(F235="",E235=""),"",MAX(0,Parametros!$B$1-E235))</f>
        <v/>
      </c>
      <c r="J235">
        <f>IF(OR(H235="",I235=""),"",IF(H235&lt;=0,"Pagada",IF(I235=0,"No vencida",IF(I235&lt;=30,"1-30",IF(I235&lt;=60,"31-60",IF(I235&lt;=90,"61-90",IF(I235&lt;=180,"91-180",IF(I235&lt;=360,"181-360","Más de 360"))))))))</f>
        <v/>
      </c>
      <c r="K235" s="14">
        <f>IF(OR(J235="",J235="Pagada"),"",VLOOKUP(J235,Parametros!$A$4:$B$10,2,FALSE))</f>
        <v/>
      </c>
      <c r="L235" s="15">
        <f>IF(K235="","",H235*K235)</f>
        <v/>
      </c>
    </row>
    <row r="236">
      <c r="A236" s="20" t="n"/>
      <c r="B236" s="20" t="n"/>
      <c r="C236" s="20" t="n"/>
      <c r="D236" s="16" t="n"/>
      <c r="E236" s="16" t="n"/>
      <c r="F236" s="21" t="n"/>
      <c r="G236" s="21" t="n"/>
      <c r="H236" s="15">
        <f>IF(F236="","",F236-N(G236))</f>
        <v/>
      </c>
      <c r="I236">
        <f>IF(OR(F236="",E236=""),"",MAX(0,Parametros!$B$1-E236))</f>
        <v/>
      </c>
      <c r="J236">
        <f>IF(OR(H236="",I236=""),"",IF(H236&lt;=0,"Pagada",IF(I236=0,"No vencida",IF(I236&lt;=30,"1-30",IF(I236&lt;=60,"31-60",IF(I236&lt;=90,"61-90",IF(I236&lt;=180,"91-180",IF(I236&lt;=360,"181-360","Más de 360"))))))))</f>
        <v/>
      </c>
      <c r="K236" s="14">
        <f>IF(OR(J236="",J236="Pagada"),"",VLOOKUP(J236,Parametros!$A$4:$B$10,2,FALSE))</f>
        <v/>
      </c>
      <c r="L236" s="15">
        <f>IF(K236="","",H236*K236)</f>
        <v/>
      </c>
    </row>
    <row r="237">
      <c r="A237" s="20" t="n"/>
      <c r="B237" s="20" t="n"/>
      <c r="C237" s="20" t="n"/>
      <c r="D237" s="16" t="n"/>
      <c r="E237" s="16" t="n"/>
      <c r="F237" s="21" t="n"/>
      <c r="G237" s="21" t="n"/>
      <c r="H237" s="15">
        <f>IF(F237="","",F237-N(G237))</f>
        <v/>
      </c>
      <c r="I237">
        <f>IF(OR(F237="",E237=""),"",MAX(0,Parametros!$B$1-E237))</f>
        <v/>
      </c>
      <c r="J237">
        <f>IF(OR(H237="",I237=""),"",IF(H237&lt;=0,"Pagada",IF(I237=0,"No vencida",IF(I237&lt;=30,"1-30",IF(I237&lt;=60,"31-60",IF(I237&lt;=90,"61-90",IF(I237&lt;=180,"91-180",IF(I237&lt;=360,"181-360","Más de 360"))))))))</f>
        <v/>
      </c>
      <c r="K237" s="14">
        <f>IF(OR(J237="",J237="Pagada"),"",VLOOKUP(J237,Parametros!$A$4:$B$10,2,FALSE))</f>
        <v/>
      </c>
      <c r="L237" s="15">
        <f>IF(K237="","",H237*K237)</f>
        <v/>
      </c>
    </row>
    <row r="238">
      <c r="A238" s="20" t="n"/>
      <c r="B238" s="20" t="n"/>
      <c r="C238" s="20" t="n"/>
      <c r="D238" s="16" t="n"/>
      <c r="E238" s="16" t="n"/>
      <c r="F238" s="21" t="n"/>
      <c r="G238" s="21" t="n"/>
      <c r="H238" s="15">
        <f>IF(F238="","",F238-N(G238))</f>
        <v/>
      </c>
      <c r="I238">
        <f>IF(OR(F238="",E238=""),"",MAX(0,Parametros!$B$1-E238))</f>
        <v/>
      </c>
      <c r="J238">
        <f>IF(OR(H238="",I238=""),"",IF(H238&lt;=0,"Pagada",IF(I238=0,"No vencida",IF(I238&lt;=30,"1-30",IF(I238&lt;=60,"31-60",IF(I238&lt;=90,"61-90",IF(I238&lt;=180,"91-180",IF(I238&lt;=360,"181-360","Más de 360"))))))))</f>
        <v/>
      </c>
      <c r="K238" s="14">
        <f>IF(OR(J238="",J238="Pagada"),"",VLOOKUP(J238,Parametros!$A$4:$B$10,2,FALSE))</f>
        <v/>
      </c>
      <c r="L238" s="15">
        <f>IF(K238="","",H238*K238)</f>
        <v/>
      </c>
    </row>
    <row r="239">
      <c r="A239" s="20" t="n"/>
      <c r="B239" s="20" t="n"/>
      <c r="C239" s="20" t="n"/>
      <c r="D239" s="16" t="n"/>
      <c r="E239" s="16" t="n"/>
      <c r="F239" s="21" t="n"/>
      <c r="G239" s="21" t="n"/>
      <c r="H239" s="15">
        <f>IF(F239="","",F239-N(G239))</f>
        <v/>
      </c>
      <c r="I239">
        <f>IF(OR(F239="",E239=""),"",MAX(0,Parametros!$B$1-E239))</f>
        <v/>
      </c>
      <c r="J239">
        <f>IF(OR(H239="",I239=""),"",IF(H239&lt;=0,"Pagada",IF(I239=0,"No vencida",IF(I239&lt;=30,"1-30",IF(I239&lt;=60,"31-60",IF(I239&lt;=90,"61-90",IF(I239&lt;=180,"91-180",IF(I239&lt;=360,"181-360","Más de 360"))))))))</f>
        <v/>
      </c>
      <c r="K239" s="14">
        <f>IF(OR(J239="",J239="Pagada"),"",VLOOKUP(J239,Parametros!$A$4:$B$10,2,FALSE))</f>
        <v/>
      </c>
      <c r="L239" s="15">
        <f>IF(K239="","",H239*K239)</f>
        <v/>
      </c>
    </row>
    <row r="240">
      <c r="A240" s="20" t="n"/>
      <c r="B240" s="20" t="n"/>
      <c r="C240" s="20" t="n"/>
      <c r="D240" s="16" t="n"/>
      <c r="E240" s="16" t="n"/>
      <c r="F240" s="21" t="n"/>
      <c r="G240" s="21" t="n"/>
      <c r="H240" s="15">
        <f>IF(F240="","",F240-N(G240))</f>
        <v/>
      </c>
      <c r="I240">
        <f>IF(OR(F240="",E240=""),"",MAX(0,Parametros!$B$1-E240))</f>
        <v/>
      </c>
      <c r="J240">
        <f>IF(OR(H240="",I240=""),"",IF(H240&lt;=0,"Pagada",IF(I240=0,"No vencida",IF(I240&lt;=30,"1-30",IF(I240&lt;=60,"31-60",IF(I240&lt;=90,"61-90",IF(I240&lt;=180,"91-180",IF(I240&lt;=360,"181-360","Más de 360"))))))))</f>
        <v/>
      </c>
      <c r="K240" s="14">
        <f>IF(OR(J240="",J240="Pagada"),"",VLOOKUP(J240,Parametros!$A$4:$B$10,2,FALSE))</f>
        <v/>
      </c>
      <c r="L240" s="15">
        <f>IF(K240="","",H240*K240)</f>
        <v/>
      </c>
    </row>
    <row r="241">
      <c r="A241" s="20" t="n"/>
      <c r="B241" s="20" t="n"/>
      <c r="C241" s="20" t="n"/>
      <c r="D241" s="16" t="n"/>
      <c r="E241" s="16" t="n"/>
      <c r="F241" s="21" t="n"/>
      <c r="G241" s="21" t="n"/>
      <c r="H241" s="15">
        <f>IF(F241="","",F241-N(G241))</f>
        <v/>
      </c>
      <c r="I241">
        <f>IF(OR(F241="",E241=""),"",MAX(0,Parametros!$B$1-E241))</f>
        <v/>
      </c>
      <c r="J241">
        <f>IF(OR(H241="",I241=""),"",IF(H241&lt;=0,"Pagada",IF(I241=0,"No vencida",IF(I241&lt;=30,"1-30",IF(I241&lt;=60,"31-60",IF(I241&lt;=90,"61-90",IF(I241&lt;=180,"91-180",IF(I241&lt;=360,"181-360","Más de 360"))))))))</f>
        <v/>
      </c>
      <c r="K241" s="14">
        <f>IF(OR(J241="",J241="Pagada"),"",VLOOKUP(J241,Parametros!$A$4:$B$10,2,FALSE))</f>
        <v/>
      </c>
      <c r="L241" s="15">
        <f>IF(K241="","",H241*K241)</f>
        <v/>
      </c>
    </row>
    <row r="242">
      <c r="A242" s="20" t="n"/>
      <c r="B242" s="20" t="n"/>
      <c r="C242" s="20" t="n"/>
      <c r="D242" s="16" t="n"/>
      <c r="E242" s="16" t="n"/>
      <c r="F242" s="21" t="n"/>
      <c r="G242" s="21" t="n"/>
      <c r="H242" s="15">
        <f>IF(F242="","",F242-N(G242))</f>
        <v/>
      </c>
      <c r="I242">
        <f>IF(OR(F242="",E242=""),"",MAX(0,Parametros!$B$1-E242))</f>
        <v/>
      </c>
      <c r="J242">
        <f>IF(OR(H242="",I242=""),"",IF(H242&lt;=0,"Pagada",IF(I242=0,"No vencida",IF(I242&lt;=30,"1-30",IF(I242&lt;=60,"31-60",IF(I242&lt;=90,"61-90",IF(I242&lt;=180,"91-180",IF(I242&lt;=360,"181-360","Más de 360"))))))))</f>
        <v/>
      </c>
      <c r="K242" s="14">
        <f>IF(OR(J242="",J242="Pagada"),"",VLOOKUP(J242,Parametros!$A$4:$B$10,2,FALSE))</f>
        <v/>
      </c>
      <c r="L242" s="15">
        <f>IF(K242="","",H242*K242)</f>
        <v/>
      </c>
    </row>
    <row r="243">
      <c r="A243" s="20" t="n"/>
      <c r="B243" s="20" t="n"/>
      <c r="C243" s="20" t="n"/>
      <c r="D243" s="16" t="n"/>
      <c r="E243" s="16" t="n"/>
      <c r="F243" s="21" t="n"/>
      <c r="G243" s="21" t="n"/>
      <c r="H243" s="15">
        <f>IF(F243="","",F243-N(G243))</f>
        <v/>
      </c>
      <c r="I243">
        <f>IF(OR(F243="",E243=""),"",MAX(0,Parametros!$B$1-E243))</f>
        <v/>
      </c>
      <c r="J243">
        <f>IF(OR(H243="",I243=""),"",IF(H243&lt;=0,"Pagada",IF(I243=0,"No vencida",IF(I243&lt;=30,"1-30",IF(I243&lt;=60,"31-60",IF(I243&lt;=90,"61-90",IF(I243&lt;=180,"91-180",IF(I243&lt;=360,"181-360","Más de 360"))))))))</f>
        <v/>
      </c>
      <c r="K243" s="14">
        <f>IF(OR(J243="",J243="Pagada"),"",VLOOKUP(J243,Parametros!$A$4:$B$10,2,FALSE))</f>
        <v/>
      </c>
      <c r="L243" s="15">
        <f>IF(K243="","",H243*K243)</f>
        <v/>
      </c>
    </row>
    <row r="244">
      <c r="A244" s="20" t="n"/>
      <c r="B244" s="20" t="n"/>
      <c r="C244" s="20" t="n"/>
      <c r="D244" s="16" t="n"/>
      <c r="E244" s="16" t="n"/>
      <c r="F244" s="21" t="n"/>
      <c r="G244" s="21" t="n"/>
      <c r="H244" s="15">
        <f>IF(F244="","",F244-N(G244))</f>
        <v/>
      </c>
      <c r="I244">
        <f>IF(OR(F244="",E244=""),"",MAX(0,Parametros!$B$1-E244))</f>
        <v/>
      </c>
      <c r="J244">
        <f>IF(OR(H244="",I244=""),"",IF(H244&lt;=0,"Pagada",IF(I244=0,"No vencida",IF(I244&lt;=30,"1-30",IF(I244&lt;=60,"31-60",IF(I244&lt;=90,"61-90",IF(I244&lt;=180,"91-180",IF(I244&lt;=360,"181-360","Más de 360"))))))))</f>
        <v/>
      </c>
      <c r="K244" s="14">
        <f>IF(OR(J244="",J244="Pagada"),"",VLOOKUP(J244,Parametros!$A$4:$B$10,2,FALSE))</f>
        <v/>
      </c>
      <c r="L244" s="15">
        <f>IF(K244="","",H244*K244)</f>
        <v/>
      </c>
    </row>
    <row r="245">
      <c r="A245" s="20" t="n"/>
      <c r="B245" s="20" t="n"/>
      <c r="C245" s="20" t="n"/>
      <c r="D245" s="16" t="n"/>
      <c r="E245" s="16" t="n"/>
      <c r="F245" s="21" t="n"/>
      <c r="G245" s="21" t="n"/>
      <c r="H245" s="15">
        <f>IF(F245="","",F245-N(G245))</f>
        <v/>
      </c>
      <c r="I245">
        <f>IF(OR(F245="",E245=""),"",MAX(0,Parametros!$B$1-E245))</f>
        <v/>
      </c>
      <c r="J245">
        <f>IF(OR(H245="",I245=""),"",IF(H245&lt;=0,"Pagada",IF(I245=0,"No vencida",IF(I245&lt;=30,"1-30",IF(I245&lt;=60,"31-60",IF(I245&lt;=90,"61-90",IF(I245&lt;=180,"91-180",IF(I245&lt;=360,"181-360","Más de 360"))))))))</f>
        <v/>
      </c>
      <c r="K245" s="14">
        <f>IF(OR(J245="",J245="Pagada"),"",VLOOKUP(J245,Parametros!$A$4:$B$10,2,FALSE))</f>
        <v/>
      </c>
      <c r="L245" s="15">
        <f>IF(K245="","",H245*K245)</f>
        <v/>
      </c>
    </row>
    <row r="246">
      <c r="A246" s="20" t="n"/>
      <c r="B246" s="20" t="n"/>
      <c r="C246" s="20" t="n"/>
      <c r="D246" s="16" t="n"/>
      <c r="E246" s="16" t="n"/>
      <c r="F246" s="21" t="n"/>
      <c r="G246" s="21" t="n"/>
      <c r="H246" s="15">
        <f>IF(F246="","",F246-N(G246))</f>
        <v/>
      </c>
      <c r="I246">
        <f>IF(OR(F246="",E246=""),"",MAX(0,Parametros!$B$1-E246))</f>
        <v/>
      </c>
      <c r="J246">
        <f>IF(OR(H246="",I246=""),"",IF(H246&lt;=0,"Pagada",IF(I246=0,"No vencida",IF(I246&lt;=30,"1-30",IF(I246&lt;=60,"31-60",IF(I246&lt;=90,"61-90",IF(I246&lt;=180,"91-180",IF(I246&lt;=360,"181-360","Más de 360"))))))))</f>
        <v/>
      </c>
      <c r="K246" s="14">
        <f>IF(OR(J246="",J246="Pagada"),"",VLOOKUP(J246,Parametros!$A$4:$B$10,2,FALSE))</f>
        <v/>
      </c>
      <c r="L246" s="15">
        <f>IF(K246="","",H246*K246)</f>
        <v/>
      </c>
    </row>
    <row r="247">
      <c r="A247" s="20" t="n"/>
      <c r="B247" s="20" t="n"/>
      <c r="C247" s="20" t="n"/>
      <c r="D247" s="16" t="n"/>
      <c r="E247" s="16" t="n"/>
      <c r="F247" s="21" t="n"/>
      <c r="G247" s="21" t="n"/>
      <c r="H247" s="15">
        <f>IF(F247="","",F247-N(G247))</f>
        <v/>
      </c>
      <c r="I247">
        <f>IF(OR(F247="",E247=""),"",MAX(0,Parametros!$B$1-E247))</f>
        <v/>
      </c>
      <c r="J247">
        <f>IF(OR(H247="",I247=""),"",IF(H247&lt;=0,"Pagada",IF(I247=0,"No vencida",IF(I247&lt;=30,"1-30",IF(I247&lt;=60,"31-60",IF(I247&lt;=90,"61-90",IF(I247&lt;=180,"91-180",IF(I247&lt;=360,"181-360","Más de 360"))))))))</f>
        <v/>
      </c>
      <c r="K247" s="14">
        <f>IF(OR(J247="",J247="Pagada"),"",VLOOKUP(J247,Parametros!$A$4:$B$10,2,FALSE))</f>
        <v/>
      </c>
      <c r="L247" s="15">
        <f>IF(K247="","",H247*K247)</f>
        <v/>
      </c>
    </row>
    <row r="248">
      <c r="A248" s="20" t="n"/>
      <c r="B248" s="20" t="n"/>
      <c r="C248" s="20" t="n"/>
      <c r="D248" s="16" t="n"/>
      <c r="E248" s="16" t="n"/>
      <c r="F248" s="21" t="n"/>
      <c r="G248" s="21" t="n"/>
      <c r="H248" s="15">
        <f>IF(F248="","",F248-N(G248))</f>
        <v/>
      </c>
      <c r="I248">
        <f>IF(OR(F248="",E248=""),"",MAX(0,Parametros!$B$1-E248))</f>
        <v/>
      </c>
      <c r="J248">
        <f>IF(OR(H248="",I248=""),"",IF(H248&lt;=0,"Pagada",IF(I248=0,"No vencida",IF(I248&lt;=30,"1-30",IF(I248&lt;=60,"31-60",IF(I248&lt;=90,"61-90",IF(I248&lt;=180,"91-180",IF(I248&lt;=360,"181-360","Más de 360"))))))))</f>
        <v/>
      </c>
      <c r="K248" s="14">
        <f>IF(OR(J248="",J248="Pagada"),"",VLOOKUP(J248,Parametros!$A$4:$B$10,2,FALSE))</f>
        <v/>
      </c>
      <c r="L248" s="15">
        <f>IF(K248="","",H248*K248)</f>
        <v/>
      </c>
    </row>
    <row r="249">
      <c r="A249" s="20" t="n"/>
      <c r="B249" s="20" t="n"/>
      <c r="C249" s="20" t="n"/>
      <c r="D249" s="16" t="n"/>
      <c r="E249" s="16" t="n"/>
      <c r="F249" s="21" t="n"/>
      <c r="G249" s="21" t="n"/>
      <c r="H249" s="15">
        <f>IF(F249="","",F249-N(G249))</f>
        <v/>
      </c>
      <c r="I249">
        <f>IF(OR(F249="",E249=""),"",MAX(0,Parametros!$B$1-E249))</f>
        <v/>
      </c>
      <c r="J249">
        <f>IF(OR(H249="",I249=""),"",IF(H249&lt;=0,"Pagada",IF(I249=0,"No vencida",IF(I249&lt;=30,"1-30",IF(I249&lt;=60,"31-60",IF(I249&lt;=90,"61-90",IF(I249&lt;=180,"91-180",IF(I249&lt;=360,"181-360","Más de 360"))))))))</f>
        <v/>
      </c>
      <c r="K249" s="14">
        <f>IF(OR(J249="",J249="Pagada"),"",VLOOKUP(J249,Parametros!$A$4:$B$10,2,FALSE))</f>
        <v/>
      </c>
      <c r="L249" s="15">
        <f>IF(K249="","",H249*K249)</f>
        <v/>
      </c>
    </row>
    <row r="250">
      <c r="A250" s="20" t="n"/>
      <c r="B250" s="20" t="n"/>
      <c r="C250" s="20" t="n"/>
      <c r="D250" s="16" t="n"/>
      <c r="E250" s="16" t="n"/>
      <c r="F250" s="21" t="n"/>
      <c r="G250" s="21" t="n"/>
      <c r="H250" s="15">
        <f>IF(F250="","",F250-N(G250))</f>
        <v/>
      </c>
      <c r="I250">
        <f>IF(OR(F250="",E250=""),"",MAX(0,Parametros!$B$1-E250))</f>
        <v/>
      </c>
      <c r="J250">
        <f>IF(OR(H250="",I250=""),"",IF(H250&lt;=0,"Pagada",IF(I250=0,"No vencida",IF(I250&lt;=30,"1-30",IF(I250&lt;=60,"31-60",IF(I250&lt;=90,"61-90",IF(I250&lt;=180,"91-180",IF(I250&lt;=360,"181-360","Más de 360"))))))))</f>
        <v/>
      </c>
      <c r="K250" s="14">
        <f>IF(OR(J250="",J250="Pagada"),"",VLOOKUP(J250,Parametros!$A$4:$B$10,2,FALSE))</f>
        <v/>
      </c>
      <c r="L250" s="15">
        <f>IF(K250="","",H250*K250)</f>
        <v/>
      </c>
    </row>
    <row r="251">
      <c r="A251" s="20" t="n"/>
      <c r="B251" s="20" t="n"/>
      <c r="C251" s="20" t="n"/>
      <c r="D251" s="16" t="n"/>
      <c r="E251" s="16" t="n"/>
      <c r="F251" s="21" t="n"/>
      <c r="G251" s="21" t="n"/>
      <c r="H251" s="15">
        <f>IF(F251="","",F251-N(G251))</f>
        <v/>
      </c>
      <c r="I251">
        <f>IF(OR(F251="",E251=""),"",MAX(0,Parametros!$B$1-E251))</f>
        <v/>
      </c>
      <c r="J251">
        <f>IF(OR(H251="",I251=""),"",IF(H251&lt;=0,"Pagada",IF(I251=0,"No vencida",IF(I251&lt;=30,"1-30",IF(I251&lt;=60,"31-60",IF(I251&lt;=90,"61-90",IF(I251&lt;=180,"91-180",IF(I251&lt;=360,"181-360","Más de 360"))))))))</f>
        <v/>
      </c>
      <c r="K251" s="14">
        <f>IF(OR(J251="",J251="Pagada"),"",VLOOKUP(J251,Parametros!$A$4:$B$10,2,FALSE))</f>
        <v/>
      </c>
      <c r="L251" s="15">
        <f>IF(K251="","",H251*K251)</f>
        <v/>
      </c>
    </row>
    <row r="252">
      <c r="A252" s="20" t="n"/>
      <c r="B252" s="20" t="n"/>
      <c r="C252" s="20" t="n"/>
      <c r="D252" s="16" t="n"/>
      <c r="E252" s="16" t="n"/>
      <c r="F252" s="21" t="n"/>
      <c r="G252" s="21" t="n"/>
      <c r="H252" s="15">
        <f>IF(F252="","",F252-N(G252))</f>
        <v/>
      </c>
      <c r="I252">
        <f>IF(OR(F252="",E252=""),"",MAX(0,Parametros!$B$1-E252))</f>
        <v/>
      </c>
      <c r="J252">
        <f>IF(OR(H252="",I252=""),"",IF(H252&lt;=0,"Pagada",IF(I252=0,"No vencida",IF(I252&lt;=30,"1-30",IF(I252&lt;=60,"31-60",IF(I252&lt;=90,"61-90",IF(I252&lt;=180,"91-180",IF(I252&lt;=360,"181-360","Más de 360"))))))))</f>
        <v/>
      </c>
      <c r="K252" s="14">
        <f>IF(OR(J252="",J252="Pagada"),"",VLOOKUP(J252,Parametros!$A$4:$B$10,2,FALSE))</f>
        <v/>
      </c>
      <c r="L252" s="15">
        <f>IF(K252="","",H252*K252)</f>
        <v/>
      </c>
    </row>
    <row r="253">
      <c r="A253" s="20" t="n"/>
      <c r="B253" s="20" t="n"/>
      <c r="C253" s="20" t="n"/>
      <c r="D253" s="16" t="n"/>
      <c r="E253" s="16" t="n"/>
      <c r="F253" s="21" t="n"/>
      <c r="G253" s="21" t="n"/>
      <c r="H253" s="15">
        <f>IF(F253="","",F253-N(G253))</f>
        <v/>
      </c>
      <c r="I253">
        <f>IF(OR(F253="",E253=""),"",MAX(0,Parametros!$B$1-E253))</f>
        <v/>
      </c>
      <c r="J253">
        <f>IF(OR(H253="",I253=""),"",IF(H253&lt;=0,"Pagada",IF(I253=0,"No vencida",IF(I253&lt;=30,"1-30",IF(I253&lt;=60,"31-60",IF(I253&lt;=90,"61-90",IF(I253&lt;=180,"91-180",IF(I253&lt;=360,"181-360","Más de 360"))))))))</f>
        <v/>
      </c>
      <c r="K253" s="14">
        <f>IF(OR(J253="",J253="Pagada"),"",VLOOKUP(J253,Parametros!$A$4:$B$10,2,FALSE))</f>
        <v/>
      </c>
      <c r="L253" s="15">
        <f>IF(K253="","",H253*K253)</f>
        <v/>
      </c>
    </row>
    <row r="254">
      <c r="A254" s="20" t="n"/>
      <c r="B254" s="20" t="n"/>
      <c r="C254" s="20" t="n"/>
      <c r="D254" s="16" t="n"/>
      <c r="E254" s="16" t="n"/>
      <c r="F254" s="21" t="n"/>
      <c r="G254" s="21" t="n"/>
      <c r="H254" s="15">
        <f>IF(F254="","",F254-N(G254))</f>
        <v/>
      </c>
      <c r="I254">
        <f>IF(OR(F254="",E254=""),"",MAX(0,Parametros!$B$1-E254))</f>
        <v/>
      </c>
      <c r="J254">
        <f>IF(OR(H254="",I254=""),"",IF(H254&lt;=0,"Pagada",IF(I254=0,"No vencida",IF(I254&lt;=30,"1-30",IF(I254&lt;=60,"31-60",IF(I254&lt;=90,"61-90",IF(I254&lt;=180,"91-180",IF(I254&lt;=360,"181-360","Más de 360"))))))))</f>
        <v/>
      </c>
      <c r="K254" s="14">
        <f>IF(OR(J254="",J254="Pagada"),"",VLOOKUP(J254,Parametros!$A$4:$B$10,2,FALSE))</f>
        <v/>
      </c>
      <c r="L254" s="15">
        <f>IF(K254="","",H254*K254)</f>
        <v/>
      </c>
    </row>
    <row r="255">
      <c r="A255" s="20" t="n"/>
      <c r="B255" s="20" t="n"/>
      <c r="C255" s="20" t="n"/>
      <c r="D255" s="16" t="n"/>
      <c r="E255" s="16" t="n"/>
      <c r="F255" s="21" t="n"/>
      <c r="G255" s="21" t="n"/>
      <c r="H255" s="15">
        <f>IF(F255="","",F255-N(G255))</f>
        <v/>
      </c>
      <c r="I255">
        <f>IF(OR(F255="",E255=""),"",MAX(0,Parametros!$B$1-E255))</f>
        <v/>
      </c>
      <c r="J255">
        <f>IF(OR(H255="",I255=""),"",IF(H255&lt;=0,"Pagada",IF(I255=0,"No vencida",IF(I255&lt;=30,"1-30",IF(I255&lt;=60,"31-60",IF(I255&lt;=90,"61-90",IF(I255&lt;=180,"91-180",IF(I255&lt;=360,"181-360","Más de 360"))))))))</f>
        <v/>
      </c>
      <c r="K255" s="14">
        <f>IF(OR(J255="",J255="Pagada"),"",VLOOKUP(J255,Parametros!$A$4:$B$10,2,FALSE))</f>
        <v/>
      </c>
      <c r="L255" s="15">
        <f>IF(K255="","",H255*K255)</f>
        <v/>
      </c>
    </row>
    <row r="256">
      <c r="A256" s="20" t="n"/>
      <c r="B256" s="20" t="n"/>
      <c r="C256" s="20" t="n"/>
      <c r="D256" s="16" t="n"/>
      <c r="E256" s="16" t="n"/>
      <c r="F256" s="21" t="n"/>
      <c r="G256" s="21" t="n"/>
      <c r="H256" s="15">
        <f>IF(F256="","",F256-N(G256))</f>
        <v/>
      </c>
      <c r="I256">
        <f>IF(OR(F256="",E256=""),"",MAX(0,Parametros!$B$1-E256))</f>
        <v/>
      </c>
      <c r="J256">
        <f>IF(OR(H256="",I256=""),"",IF(H256&lt;=0,"Pagada",IF(I256=0,"No vencida",IF(I256&lt;=30,"1-30",IF(I256&lt;=60,"31-60",IF(I256&lt;=90,"61-90",IF(I256&lt;=180,"91-180",IF(I256&lt;=360,"181-360","Más de 360"))))))))</f>
        <v/>
      </c>
      <c r="K256" s="14">
        <f>IF(OR(J256="",J256="Pagada"),"",VLOOKUP(J256,Parametros!$A$4:$B$10,2,FALSE))</f>
        <v/>
      </c>
      <c r="L256" s="15">
        <f>IF(K256="","",H256*K256)</f>
        <v/>
      </c>
    </row>
    <row r="257">
      <c r="A257" s="20" t="n"/>
      <c r="B257" s="20" t="n"/>
      <c r="C257" s="20" t="n"/>
      <c r="D257" s="16" t="n"/>
      <c r="E257" s="16" t="n"/>
      <c r="F257" s="21" t="n"/>
      <c r="G257" s="21" t="n"/>
      <c r="H257" s="15">
        <f>IF(F257="","",F257-N(G257))</f>
        <v/>
      </c>
      <c r="I257">
        <f>IF(OR(F257="",E257=""),"",MAX(0,Parametros!$B$1-E257))</f>
        <v/>
      </c>
      <c r="J257">
        <f>IF(OR(H257="",I257=""),"",IF(H257&lt;=0,"Pagada",IF(I257=0,"No vencida",IF(I257&lt;=30,"1-30",IF(I257&lt;=60,"31-60",IF(I257&lt;=90,"61-90",IF(I257&lt;=180,"91-180",IF(I257&lt;=360,"181-360","Más de 360"))))))))</f>
        <v/>
      </c>
      <c r="K257" s="14">
        <f>IF(OR(J257="",J257="Pagada"),"",VLOOKUP(J257,Parametros!$A$4:$B$10,2,FALSE))</f>
        <v/>
      </c>
      <c r="L257" s="15">
        <f>IF(K257="","",H257*K257)</f>
        <v/>
      </c>
    </row>
    <row r="258">
      <c r="A258" s="20" t="n"/>
      <c r="B258" s="20" t="n"/>
      <c r="C258" s="20" t="n"/>
      <c r="D258" s="16" t="n"/>
      <c r="E258" s="16" t="n"/>
      <c r="F258" s="21" t="n"/>
      <c r="G258" s="21" t="n"/>
      <c r="H258" s="15">
        <f>IF(F258="","",F258-N(G258))</f>
        <v/>
      </c>
      <c r="I258">
        <f>IF(OR(F258="",E258=""),"",MAX(0,Parametros!$B$1-E258))</f>
        <v/>
      </c>
      <c r="J258">
        <f>IF(OR(H258="",I258=""),"",IF(H258&lt;=0,"Pagada",IF(I258=0,"No vencida",IF(I258&lt;=30,"1-30",IF(I258&lt;=60,"31-60",IF(I258&lt;=90,"61-90",IF(I258&lt;=180,"91-180",IF(I258&lt;=360,"181-360","Más de 360"))))))))</f>
        <v/>
      </c>
      <c r="K258" s="14">
        <f>IF(OR(J258="",J258="Pagada"),"",VLOOKUP(J258,Parametros!$A$4:$B$10,2,FALSE))</f>
        <v/>
      </c>
      <c r="L258" s="15">
        <f>IF(K258="","",H258*K258)</f>
        <v/>
      </c>
    </row>
    <row r="259">
      <c r="A259" s="20" t="n"/>
      <c r="B259" s="20" t="n"/>
      <c r="C259" s="20" t="n"/>
      <c r="D259" s="16" t="n"/>
      <c r="E259" s="16" t="n"/>
      <c r="F259" s="21" t="n"/>
      <c r="G259" s="21" t="n"/>
      <c r="H259" s="15">
        <f>IF(F259="","",F259-N(G259))</f>
        <v/>
      </c>
      <c r="I259">
        <f>IF(OR(F259="",E259=""),"",MAX(0,Parametros!$B$1-E259))</f>
        <v/>
      </c>
      <c r="J259">
        <f>IF(OR(H259="",I259=""),"",IF(H259&lt;=0,"Pagada",IF(I259=0,"No vencida",IF(I259&lt;=30,"1-30",IF(I259&lt;=60,"31-60",IF(I259&lt;=90,"61-90",IF(I259&lt;=180,"91-180",IF(I259&lt;=360,"181-360","Más de 360"))))))))</f>
        <v/>
      </c>
      <c r="K259" s="14">
        <f>IF(OR(J259="",J259="Pagada"),"",VLOOKUP(J259,Parametros!$A$4:$B$10,2,FALSE))</f>
        <v/>
      </c>
      <c r="L259" s="15">
        <f>IF(K259="","",H259*K259)</f>
        <v/>
      </c>
    </row>
    <row r="260">
      <c r="A260" s="20" t="n"/>
      <c r="B260" s="20" t="n"/>
      <c r="C260" s="20" t="n"/>
      <c r="D260" s="16" t="n"/>
      <c r="E260" s="16" t="n"/>
      <c r="F260" s="21" t="n"/>
      <c r="G260" s="21" t="n"/>
      <c r="H260" s="15">
        <f>IF(F260="","",F260-N(G260))</f>
        <v/>
      </c>
      <c r="I260">
        <f>IF(OR(F260="",E260=""),"",MAX(0,Parametros!$B$1-E260))</f>
        <v/>
      </c>
      <c r="J260">
        <f>IF(OR(H260="",I260=""),"",IF(H260&lt;=0,"Pagada",IF(I260=0,"No vencida",IF(I260&lt;=30,"1-30",IF(I260&lt;=60,"31-60",IF(I260&lt;=90,"61-90",IF(I260&lt;=180,"91-180",IF(I260&lt;=360,"181-360","Más de 360"))))))))</f>
        <v/>
      </c>
      <c r="K260" s="14">
        <f>IF(OR(J260="",J260="Pagada"),"",VLOOKUP(J260,Parametros!$A$4:$B$10,2,FALSE))</f>
        <v/>
      </c>
      <c r="L260" s="15">
        <f>IF(K260="","",H260*K260)</f>
        <v/>
      </c>
    </row>
    <row r="261">
      <c r="A261" s="20" t="n"/>
      <c r="B261" s="20" t="n"/>
      <c r="C261" s="20" t="n"/>
      <c r="D261" s="16" t="n"/>
      <c r="E261" s="16" t="n"/>
      <c r="F261" s="21" t="n"/>
      <c r="G261" s="21" t="n"/>
      <c r="H261" s="15">
        <f>IF(F261="","",F261-N(G261))</f>
        <v/>
      </c>
      <c r="I261">
        <f>IF(OR(F261="",E261=""),"",MAX(0,Parametros!$B$1-E261))</f>
        <v/>
      </c>
      <c r="J261">
        <f>IF(OR(H261="",I261=""),"",IF(H261&lt;=0,"Pagada",IF(I261=0,"No vencida",IF(I261&lt;=30,"1-30",IF(I261&lt;=60,"31-60",IF(I261&lt;=90,"61-90",IF(I261&lt;=180,"91-180",IF(I261&lt;=360,"181-360","Más de 360"))))))))</f>
        <v/>
      </c>
      <c r="K261" s="14">
        <f>IF(OR(J261="",J261="Pagada"),"",VLOOKUP(J261,Parametros!$A$4:$B$10,2,FALSE))</f>
        <v/>
      </c>
      <c r="L261" s="15">
        <f>IF(K261="","",H261*K261)</f>
        <v/>
      </c>
    </row>
    <row r="262">
      <c r="A262" s="20" t="n"/>
      <c r="B262" s="20" t="n"/>
      <c r="C262" s="20" t="n"/>
      <c r="D262" s="16" t="n"/>
      <c r="E262" s="16" t="n"/>
      <c r="F262" s="21" t="n"/>
      <c r="G262" s="21" t="n"/>
      <c r="H262" s="15">
        <f>IF(F262="","",F262-N(G262))</f>
        <v/>
      </c>
      <c r="I262">
        <f>IF(OR(F262="",E262=""),"",MAX(0,Parametros!$B$1-E262))</f>
        <v/>
      </c>
      <c r="J262">
        <f>IF(OR(H262="",I262=""),"",IF(H262&lt;=0,"Pagada",IF(I262=0,"No vencida",IF(I262&lt;=30,"1-30",IF(I262&lt;=60,"31-60",IF(I262&lt;=90,"61-90",IF(I262&lt;=180,"91-180",IF(I262&lt;=360,"181-360","Más de 360"))))))))</f>
        <v/>
      </c>
      <c r="K262" s="14">
        <f>IF(OR(J262="",J262="Pagada"),"",VLOOKUP(J262,Parametros!$A$4:$B$10,2,FALSE))</f>
        <v/>
      </c>
      <c r="L262" s="15">
        <f>IF(K262="","",H262*K262)</f>
        <v/>
      </c>
    </row>
    <row r="263">
      <c r="A263" s="20" t="n"/>
      <c r="B263" s="20" t="n"/>
      <c r="C263" s="20" t="n"/>
      <c r="D263" s="16" t="n"/>
      <c r="E263" s="16" t="n"/>
      <c r="F263" s="21" t="n"/>
      <c r="G263" s="21" t="n"/>
      <c r="H263" s="15">
        <f>IF(F263="","",F263-N(G263))</f>
        <v/>
      </c>
      <c r="I263">
        <f>IF(OR(F263="",E263=""),"",MAX(0,Parametros!$B$1-E263))</f>
        <v/>
      </c>
      <c r="J263">
        <f>IF(OR(H263="",I263=""),"",IF(H263&lt;=0,"Pagada",IF(I263=0,"No vencida",IF(I263&lt;=30,"1-30",IF(I263&lt;=60,"31-60",IF(I263&lt;=90,"61-90",IF(I263&lt;=180,"91-180",IF(I263&lt;=360,"181-360","Más de 360"))))))))</f>
        <v/>
      </c>
      <c r="K263" s="14">
        <f>IF(OR(J263="",J263="Pagada"),"",VLOOKUP(J263,Parametros!$A$4:$B$10,2,FALSE))</f>
        <v/>
      </c>
      <c r="L263" s="15">
        <f>IF(K263="","",H263*K263)</f>
        <v/>
      </c>
    </row>
    <row r="264">
      <c r="A264" s="20" t="n"/>
      <c r="B264" s="20" t="n"/>
      <c r="C264" s="20" t="n"/>
      <c r="D264" s="16" t="n"/>
      <c r="E264" s="16" t="n"/>
      <c r="F264" s="21" t="n"/>
      <c r="G264" s="21" t="n"/>
      <c r="H264" s="15">
        <f>IF(F264="","",F264-N(G264))</f>
        <v/>
      </c>
      <c r="I264">
        <f>IF(OR(F264="",E264=""),"",MAX(0,Parametros!$B$1-E264))</f>
        <v/>
      </c>
      <c r="J264">
        <f>IF(OR(H264="",I264=""),"",IF(H264&lt;=0,"Pagada",IF(I264=0,"No vencida",IF(I264&lt;=30,"1-30",IF(I264&lt;=60,"31-60",IF(I264&lt;=90,"61-90",IF(I264&lt;=180,"91-180",IF(I264&lt;=360,"181-360","Más de 360"))))))))</f>
        <v/>
      </c>
      <c r="K264" s="14">
        <f>IF(OR(J264="",J264="Pagada"),"",VLOOKUP(J264,Parametros!$A$4:$B$10,2,FALSE))</f>
        <v/>
      </c>
      <c r="L264" s="15">
        <f>IF(K264="","",H264*K264)</f>
        <v/>
      </c>
    </row>
    <row r="265">
      <c r="A265" s="20" t="n"/>
      <c r="B265" s="20" t="n"/>
      <c r="C265" s="20" t="n"/>
      <c r="D265" s="16" t="n"/>
      <c r="E265" s="16" t="n"/>
      <c r="F265" s="21" t="n"/>
      <c r="G265" s="21" t="n"/>
      <c r="H265" s="15">
        <f>IF(F265="","",F265-N(G265))</f>
        <v/>
      </c>
      <c r="I265">
        <f>IF(OR(F265="",E265=""),"",MAX(0,Parametros!$B$1-E265))</f>
        <v/>
      </c>
      <c r="J265">
        <f>IF(OR(H265="",I265=""),"",IF(H265&lt;=0,"Pagada",IF(I265=0,"No vencida",IF(I265&lt;=30,"1-30",IF(I265&lt;=60,"31-60",IF(I265&lt;=90,"61-90",IF(I265&lt;=180,"91-180",IF(I265&lt;=360,"181-360","Más de 360"))))))))</f>
        <v/>
      </c>
      <c r="K265" s="14">
        <f>IF(OR(J265="",J265="Pagada"),"",VLOOKUP(J265,Parametros!$A$4:$B$10,2,FALSE))</f>
        <v/>
      </c>
      <c r="L265" s="15">
        <f>IF(K265="","",H265*K265)</f>
        <v/>
      </c>
    </row>
    <row r="266">
      <c r="A266" s="20" t="n"/>
      <c r="B266" s="20" t="n"/>
      <c r="C266" s="20" t="n"/>
      <c r="D266" s="16" t="n"/>
      <c r="E266" s="16" t="n"/>
      <c r="F266" s="21" t="n"/>
      <c r="G266" s="21" t="n"/>
      <c r="H266" s="15">
        <f>IF(F266="","",F266-N(G266))</f>
        <v/>
      </c>
      <c r="I266">
        <f>IF(OR(F266="",E266=""),"",MAX(0,Parametros!$B$1-E266))</f>
        <v/>
      </c>
      <c r="J266">
        <f>IF(OR(H266="",I266=""),"",IF(H266&lt;=0,"Pagada",IF(I266=0,"No vencida",IF(I266&lt;=30,"1-30",IF(I266&lt;=60,"31-60",IF(I266&lt;=90,"61-90",IF(I266&lt;=180,"91-180",IF(I266&lt;=360,"181-360","Más de 360"))))))))</f>
        <v/>
      </c>
      <c r="K266" s="14">
        <f>IF(OR(J266="",J266="Pagada"),"",VLOOKUP(J266,Parametros!$A$4:$B$10,2,FALSE))</f>
        <v/>
      </c>
      <c r="L266" s="15">
        <f>IF(K266="","",H266*K266)</f>
        <v/>
      </c>
    </row>
    <row r="267">
      <c r="A267" s="20" t="n"/>
      <c r="B267" s="20" t="n"/>
      <c r="C267" s="20" t="n"/>
      <c r="D267" s="16" t="n"/>
      <c r="E267" s="16" t="n"/>
      <c r="F267" s="21" t="n"/>
      <c r="G267" s="21" t="n"/>
      <c r="H267" s="15">
        <f>IF(F267="","",F267-N(G267))</f>
        <v/>
      </c>
      <c r="I267">
        <f>IF(OR(F267="",E267=""),"",MAX(0,Parametros!$B$1-E267))</f>
        <v/>
      </c>
      <c r="J267">
        <f>IF(OR(H267="",I267=""),"",IF(H267&lt;=0,"Pagada",IF(I267=0,"No vencida",IF(I267&lt;=30,"1-30",IF(I267&lt;=60,"31-60",IF(I267&lt;=90,"61-90",IF(I267&lt;=180,"91-180",IF(I267&lt;=360,"181-360","Más de 360"))))))))</f>
        <v/>
      </c>
      <c r="K267" s="14">
        <f>IF(OR(J267="",J267="Pagada"),"",VLOOKUP(J267,Parametros!$A$4:$B$10,2,FALSE))</f>
        <v/>
      </c>
      <c r="L267" s="15">
        <f>IF(K267="","",H267*K267)</f>
        <v/>
      </c>
    </row>
    <row r="268">
      <c r="A268" s="20" t="n"/>
      <c r="B268" s="20" t="n"/>
      <c r="C268" s="20" t="n"/>
      <c r="D268" s="16" t="n"/>
      <c r="E268" s="16" t="n"/>
      <c r="F268" s="21" t="n"/>
      <c r="G268" s="21" t="n"/>
      <c r="H268" s="15">
        <f>IF(F268="","",F268-N(G268))</f>
        <v/>
      </c>
      <c r="I268">
        <f>IF(OR(F268="",E268=""),"",MAX(0,Parametros!$B$1-E268))</f>
        <v/>
      </c>
      <c r="J268">
        <f>IF(OR(H268="",I268=""),"",IF(H268&lt;=0,"Pagada",IF(I268=0,"No vencida",IF(I268&lt;=30,"1-30",IF(I268&lt;=60,"31-60",IF(I268&lt;=90,"61-90",IF(I268&lt;=180,"91-180",IF(I268&lt;=360,"181-360","Más de 360"))))))))</f>
        <v/>
      </c>
      <c r="K268" s="14">
        <f>IF(OR(J268="",J268="Pagada"),"",VLOOKUP(J268,Parametros!$A$4:$B$10,2,FALSE))</f>
        <v/>
      </c>
      <c r="L268" s="15">
        <f>IF(K268="","",H268*K268)</f>
        <v/>
      </c>
    </row>
    <row r="269">
      <c r="A269" s="20" t="n"/>
      <c r="B269" s="20" t="n"/>
      <c r="C269" s="20" t="n"/>
      <c r="D269" s="16" t="n"/>
      <c r="E269" s="16" t="n"/>
      <c r="F269" s="21" t="n"/>
      <c r="G269" s="21" t="n"/>
      <c r="H269" s="15">
        <f>IF(F269="","",F269-N(G269))</f>
        <v/>
      </c>
      <c r="I269">
        <f>IF(OR(F269="",E269=""),"",MAX(0,Parametros!$B$1-E269))</f>
        <v/>
      </c>
      <c r="J269">
        <f>IF(OR(H269="",I269=""),"",IF(H269&lt;=0,"Pagada",IF(I269=0,"No vencida",IF(I269&lt;=30,"1-30",IF(I269&lt;=60,"31-60",IF(I269&lt;=90,"61-90",IF(I269&lt;=180,"91-180",IF(I269&lt;=360,"181-360","Más de 360"))))))))</f>
        <v/>
      </c>
      <c r="K269" s="14">
        <f>IF(OR(J269="",J269="Pagada"),"",VLOOKUP(J269,Parametros!$A$4:$B$10,2,FALSE))</f>
        <v/>
      </c>
      <c r="L269" s="15">
        <f>IF(K269="","",H269*K269)</f>
        <v/>
      </c>
    </row>
    <row r="270">
      <c r="A270" s="20" t="n"/>
      <c r="B270" s="20" t="n"/>
      <c r="C270" s="20" t="n"/>
      <c r="D270" s="16" t="n"/>
      <c r="E270" s="16" t="n"/>
      <c r="F270" s="21" t="n"/>
      <c r="G270" s="21" t="n"/>
      <c r="H270" s="15">
        <f>IF(F270="","",F270-N(G270))</f>
        <v/>
      </c>
      <c r="I270">
        <f>IF(OR(F270="",E270=""),"",MAX(0,Parametros!$B$1-E270))</f>
        <v/>
      </c>
      <c r="J270">
        <f>IF(OR(H270="",I270=""),"",IF(H270&lt;=0,"Pagada",IF(I270=0,"No vencida",IF(I270&lt;=30,"1-30",IF(I270&lt;=60,"31-60",IF(I270&lt;=90,"61-90",IF(I270&lt;=180,"91-180",IF(I270&lt;=360,"181-360","Más de 360"))))))))</f>
        <v/>
      </c>
      <c r="K270" s="14">
        <f>IF(OR(J270="",J270="Pagada"),"",VLOOKUP(J270,Parametros!$A$4:$B$10,2,FALSE))</f>
        <v/>
      </c>
      <c r="L270" s="15">
        <f>IF(K270="","",H270*K270)</f>
        <v/>
      </c>
    </row>
    <row r="271">
      <c r="A271" s="20" t="n"/>
      <c r="B271" s="20" t="n"/>
      <c r="C271" s="20" t="n"/>
      <c r="D271" s="16" t="n"/>
      <c r="E271" s="16" t="n"/>
      <c r="F271" s="21" t="n"/>
      <c r="G271" s="21" t="n"/>
      <c r="H271" s="15">
        <f>IF(F271="","",F271-N(G271))</f>
        <v/>
      </c>
      <c r="I271">
        <f>IF(OR(F271="",E271=""),"",MAX(0,Parametros!$B$1-E271))</f>
        <v/>
      </c>
      <c r="J271">
        <f>IF(OR(H271="",I271=""),"",IF(H271&lt;=0,"Pagada",IF(I271=0,"No vencida",IF(I271&lt;=30,"1-30",IF(I271&lt;=60,"31-60",IF(I271&lt;=90,"61-90",IF(I271&lt;=180,"91-180",IF(I271&lt;=360,"181-360","Más de 360"))))))))</f>
        <v/>
      </c>
      <c r="K271" s="14">
        <f>IF(OR(J271="",J271="Pagada"),"",VLOOKUP(J271,Parametros!$A$4:$B$10,2,FALSE))</f>
        <v/>
      </c>
      <c r="L271" s="15">
        <f>IF(K271="","",H271*K271)</f>
        <v/>
      </c>
    </row>
    <row r="272">
      <c r="A272" s="20" t="n"/>
      <c r="B272" s="20" t="n"/>
      <c r="C272" s="20" t="n"/>
      <c r="D272" s="16" t="n"/>
      <c r="E272" s="16" t="n"/>
      <c r="F272" s="21" t="n"/>
      <c r="G272" s="21" t="n"/>
      <c r="H272" s="15">
        <f>IF(F272="","",F272-N(G272))</f>
        <v/>
      </c>
      <c r="I272">
        <f>IF(OR(F272="",E272=""),"",MAX(0,Parametros!$B$1-E272))</f>
        <v/>
      </c>
      <c r="J272">
        <f>IF(OR(H272="",I272=""),"",IF(H272&lt;=0,"Pagada",IF(I272=0,"No vencida",IF(I272&lt;=30,"1-30",IF(I272&lt;=60,"31-60",IF(I272&lt;=90,"61-90",IF(I272&lt;=180,"91-180",IF(I272&lt;=360,"181-360","Más de 360"))))))))</f>
        <v/>
      </c>
      <c r="K272" s="14">
        <f>IF(OR(J272="",J272="Pagada"),"",VLOOKUP(J272,Parametros!$A$4:$B$10,2,FALSE))</f>
        <v/>
      </c>
      <c r="L272" s="15">
        <f>IF(K272="","",H272*K272)</f>
        <v/>
      </c>
    </row>
    <row r="273">
      <c r="A273" s="20" t="n"/>
      <c r="B273" s="20" t="n"/>
      <c r="C273" s="20" t="n"/>
      <c r="D273" s="16" t="n"/>
      <c r="E273" s="16" t="n"/>
      <c r="F273" s="21" t="n"/>
      <c r="G273" s="21" t="n"/>
      <c r="H273" s="15">
        <f>IF(F273="","",F273-N(G273))</f>
        <v/>
      </c>
      <c r="I273">
        <f>IF(OR(F273="",E273=""),"",MAX(0,Parametros!$B$1-E273))</f>
        <v/>
      </c>
      <c r="J273">
        <f>IF(OR(H273="",I273=""),"",IF(H273&lt;=0,"Pagada",IF(I273=0,"No vencida",IF(I273&lt;=30,"1-30",IF(I273&lt;=60,"31-60",IF(I273&lt;=90,"61-90",IF(I273&lt;=180,"91-180",IF(I273&lt;=360,"181-360","Más de 360"))))))))</f>
        <v/>
      </c>
      <c r="K273" s="14">
        <f>IF(OR(J273="",J273="Pagada"),"",VLOOKUP(J273,Parametros!$A$4:$B$10,2,FALSE))</f>
        <v/>
      </c>
      <c r="L273" s="15">
        <f>IF(K273="","",H273*K273)</f>
        <v/>
      </c>
    </row>
    <row r="274">
      <c r="A274" s="20" t="n"/>
      <c r="B274" s="20" t="n"/>
      <c r="C274" s="20" t="n"/>
      <c r="D274" s="16" t="n"/>
      <c r="E274" s="16" t="n"/>
      <c r="F274" s="21" t="n"/>
      <c r="G274" s="21" t="n"/>
      <c r="H274" s="15">
        <f>IF(F274="","",F274-N(G274))</f>
        <v/>
      </c>
      <c r="I274">
        <f>IF(OR(F274="",E274=""),"",MAX(0,Parametros!$B$1-E274))</f>
        <v/>
      </c>
      <c r="J274">
        <f>IF(OR(H274="",I274=""),"",IF(H274&lt;=0,"Pagada",IF(I274=0,"No vencida",IF(I274&lt;=30,"1-30",IF(I274&lt;=60,"31-60",IF(I274&lt;=90,"61-90",IF(I274&lt;=180,"91-180",IF(I274&lt;=360,"181-360","Más de 360"))))))))</f>
        <v/>
      </c>
      <c r="K274" s="14">
        <f>IF(OR(J274="",J274="Pagada"),"",VLOOKUP(J274,Parametros!$A$4:$B$10,2,FALSE))</f>
        <v/>
      </c>
      <c r="L274" s="15">
        <f>IF(K274="","",H274*K274)</f>
        <v/>
      </c>
    </row>
    <row r="275">
      <c r="A275" s="20" t="n"/>
      <c r="B275" s="20" t="n"/>
      <c r="C275" s="20" t="n"/>
      <c r="D275" s="16" t="n"/>
      <c r="E275" s="16" t="n"/>
      <c r="F275" s="21" t="n"/>
      <c r="G275" s="21" t="n"/>
      <c r="H275" s="15">
        <f>IF(F275="","",F275-N(G275))</f>
        <v/>
      </c>
      <c r="I275">
        <f>IF(OR(F275="",E275=""),"",MAX(0,Parametros!$B$1-E275))</f>
        <v/>
      </c>
      <c r="J275">
        <f>IF(OR(H275="",I275=""),"",IF(H275&lt;=0,"Pagada",IF(I275=0,"No vencida",IF(I275&lt;=30,"1-30",IF(I275&lt;=60,"31-60",IF(I275&lt;=90,"61-90",IF(I275&lt;=180,"91-180",IF(I275&lt;=360,"181-360","Más de 360"))))))))</f>
        <v/>
      </c>
      <c r="K275" s="14">
        <f>IF(OR(J275="",J275="Pagada"),"",VLOOKUP(J275,Parametros!$A$4:$B$10,2,FALSE))</f>
        <v/>
      </c>
      <c r="L275" s="15">
        <f>IF(K275="","",H275*K275)</f>
        <v/>
      </c>
    </row>
    <row r="276">
      <c r="A276" s="20" t="n"/>
      <c r="B276" s="20" t="n"/>
      <c r="C276" s="20" t="n"/>
      <c r="D276" s="16" t="n"/>
      <c r="E276" s="16" t="n"/>
      <c r="F276" s="21" t="n"/>
      <c r="G276" s="21" t="n"/>
      <c r="H276" s="15">
        <f>IF(F276="","",F276-N(G276))</f>
        <v/>
      </c>
      <c r="I276">
        <f>IF(OR(F276="",E276=""),"",MAX(0,Parametros!$B$1-E276))</f>
        <v/>
      </c>
      <c r="J276">
        <f>IF(OR(H276="",I276=""),"",IF(H276&lt;=0,"Pagada",IF(I276=0,"No vencida",IF(I276&lt;=30,"1-30",IF(I276&lt;=60,"31-60",IF(I276&lt;=90,"61-90",IF(I276&lt;=180,"91-180",IF(I276&lt;=360,"181-360","Más de 360"))))))))</f>
        <v/>
      </c>
      <c r="K276" s="14">
        <f>IF(OR(J276="",J276="Pagada"),"",VLOOKUP(J276,Parametros!$A$4:$B$10,2,FALSE))</f>
        <v/>
      </c>
      <c r="L276" s="15">
        <f>IF(K276="","",H276*K276)</f>
        <v/>
      </c>
    </row>
    <row r="277">
      <c r="A277" s="20" t="n"/>
      <c r="B277" s="20" t="n"/>
      <c r="C277" s="20" t="n"/>
      <c r="D277" s="16" t="n"/>
      <c r="E277" s="16" t="n"/>
      <c r="F277" s="21" t="n"/>
      <c r="G277" s="21" t="n"/>
      <c r="H277" s="15">
        <f>IF(F277="","",F277-N(G277))</f>
        <v/>
      </c>
      <c r="I277">
        <f>IF(OR(F277="",E277=""),"",MAX(0,Parametros!$B$1-E277))</f>
        <v/>
      </c>
      <c r="J277">
        <f>IF(OR(H277="",I277=""),"",IF(H277&lt;=0,"Pagada",IF(I277=0,"No vencida",IF(I277&lt;=30,"1-30",IF(I277&lt;=60,"31-60",IF(I277&lt;=90,"61-90",IF(I277&lt;=180,"91-180",IF(I277&lt;=360,"181-360","Más de 360"))))))))</f>
        <v/>
      </c>
      <c r="K277" s="14">
        <f>IF(OR(J277="",J277="Pagada"),"",VLOOKUP(J277,Parametros!$A$4:$B$10,2,FALSE))</f>
        <v/>
      </c>
      <c r="L277" s="15">
        <f>IF(K277="","",H277*K277)</f>
        <v/>
      </c>
    </row>
    <row r="278">
      <c r="A278" s="20" t="n"/>
      <c r="B278" s="20" t="n"/>
      <c r="C278" s="20" t="n"/>
      <c r="D278" s="16" t="n"/>
      <c r="E278" s="16" t="n"/>
      <c r="F278" s="21" t="n"/>
      <c r="G278" s="21" t="n"/>
      <c r="H278" s="15">
        <f>IF(F278="","",F278-N(G278))</f>
        <v/>
      </c>
      <c r="I278">
        <f>IF(OR(F278="",E278=""),"",MAX(0,Parametros!$B$1-E278))</f>
        <v/>
      </c>
      <c r="J278">
        <f>IF(OR(H278="",I278=""),"",IF(H278&lt;=0,"Pagada",IF(I278=0,"No vencida",IF(I278&lt;=30,"1-30",IF(I278&lt;=60,"31-60",IF(I278&lt;=90,"61-90",IF(I278&lt;=180,"91-180",IF(I278&lt;=360,"181-360","Más de 360"))))))))</f>
        <v/>
      </c>
      <c r="K278" s="14">
        <f>IF(OR(J278="",J278="Pagada"),"",VLOOKUP(J278,Parametros!$A$4:$B$10,2,FALSE))</f>
        <v/>
      </c>
      <c r="L278" s="15">
        <f>IF(K278="","",H278*K278)</f>
        <v/>
      </c>
    </row>
    <row r="279">
      <c r="A279" s="20" t="n"/>
      <c r="B279" s="20" t="n"/>
      <c r="C279" s="20" t="n"/>
      <c r="D279" s="16" t="n"/>
      <c r="E279" s="16" t="n"/>
      <c r="F279" s="21" t="n"/>
      <c r="G279" s="21" t="n"/>
      <c r="H279" s="15">
        <f>IF(F279="","",F279-N(G279))</f>
        <v/>
      </c>
      <c r="I279">
        <f>IF(OR(F279="",E279=""),"",MAX(0,Parametros!$B$1-E279))</f>
        <v/>
      </c>
      <c r="J279">
        <f>IF(OR(H279="",I279=""),"",IF(H279&lt;=0,"Pagada",IF(I279=0,"No vencida",IF(I279&lt;=30,"1-30",IF(I279&lt;=60,"31-60",IF(I279&lt;=90,"61-90",IF(I279&lt;=180,"91-180",IF(I279&lt;=360,"181-360","Más de 360"))))))))</f>
        <v/>
      </c>
      <c r="K279" s="14">
        <f>IF(OR(J279="",J279="Pagada"),"",VLOOKUP(J279,Parametros!$A$4:$B$10,2,FALSE))</f>
        <v/>
      </c>
      <c r="L279" s="15">
        <f>IF(K279="","",H279*K279)</f>
        <v/>
      </c>
    </row>
    <row r="280">
      <c r="A280" s="20" t="n"/>
      <c r="B280" s="20" t="n"/>
      <c r="C280" s="20" t="n"/>
      <c r="D280" s="16" t="n"/>
      <c r="E280" s="16" t="n"/>
      <c r="F280" s="21" t="n"/>
      <c r="G280" s="21" t="n"/>
      <c r="H280" s="15">
        <f>IF(F280="","",F280-N(G280))</f>
        <v/>
      </c>
      <c r="I280">
        <f>IF(OR(F280="",E280=""),"",MAX(0,Parametros!$B$1-E280))</f>
        <v/>
      </c>
      <c r="J280">
        <f>IF(OR(H280="",I280=""),"",IF(H280&lt;=0,"Pagada",IF(I280=0,"No vencida",IF(I280&lt;=30,"1-30",IF(I280&lt;=60,"31-60",IF(I280&lt;=90,"61-90",IF(I280&lt;=180,"91-180",IF(I280&lt;=360,"181-360","Más de 360"))))))))</f>
        <v/>
      </c>
      <c r="K280" s="14">
        <f>IF(OR(J280="",J280="Pagada"),"",VLOOKUP(J280,Parametros!$A$4:$B$10,2,FALSE))</f>
        <v/>
      </c>
      <c r="L280" s="15">
        <f>IF(K280="","",H280*K280)</f>
        <v/>
      </c>
    </row>
    <row r="281">
      <c r="A281" s="20" t="n"/>
      <c r="B281" s="20" t="n"/>
      <c r="C281" s="20" t="n"/>
      <c r="D281" s="16" t="n"/>
      <c r="E281" s="16" t="n"/>
      <c r="F281" s="21" t="n"/>
      <c r="G281" s="21" t="n"/>
      <c r="H281" s="15">
        <f>IF(F281="","",F281-N(G281))</f>
        <v/>
      </c>
      <c r="I281">
        <f>IF(OR(F281="",E281=""),"",MAX(0,Parametros!$B$1-E281))</f>
        <v/>
      </c>
      <c r="J281">
        <f>IF(OR(H281="",I281=""),"",IF(H281&lt;=0,"Pagada",IF(I281=0,"No vencida",IF(I281&lt;=30,"1-30",IF(I281&lt;=60,"31-60",IF(I281&lt;=90,"61-90",IF(I281&lt;=180,"91-180",IF(I281&lt;=360,"181-360","Más de 360"))))))))</f>
        <v/>
      </c>
      <c r="K281" s="14">
        <f>IF(OR(J281="",J281="Pagada"),"",VLOOKUP(J281,Parametros!$A$4:$B$10,2,FALSE))</f>
        <v/>
      </c>
      <c r="L281" s="15">
        <f>IF(K281="","",H281*K281)</f>
        <v/>
      </c>
    </row>
    <row r="282">
      <c r="A282" s="20" t="n"/>
      <c r="B282" s="20" t="n"/>
      <c r="C282" s="20" t="n"/>
      <c r="D282" s="16" t="n"/>
      <c r="E282" s="16" t="n"/>
      <c r="F282" s="21" t="n"/>
      <c r="G282" s="21" t="n"/>
      <c r="H282" s="15">
        <f>IF(F282="","",F282-N(G282))</f>
        <v/>
      </c>
      <c r="I282">
        <f>IF(OR(F282="",E282=""),"",MAX(0,Parametros!$B$1-E282))</f>
        <v/>
      </c>
      <c r="J282">
        <f>IF(OR(H282="",I282=""),"",IF(H282&lt;=0,"Pagada",IF(I282=0,"No vencida",IF(I282&lt;=30,"1-30",IF(I282&lt;=60,"31-60",IF(I282&lt;=90,"61-90",IF(I282&lt;=180,"91-180",IF(I282&lt;=360,"181-360","Más de 360"))))))))</f>
        <v/>
      </c>
      <c r="K282" s="14">
        <f>IF(OR(J282="",J282="Pagada"),"",VLOOKUP(J282,Parametros!$A$4:$B$10,2,FALSE))</f>
        <v/>
      </c>
      <c r="L282" s="15">
        <f>IF(K282="","",H282*K282)</f>
        <v/>
      </c>
    </row>
    <row r="283">
      <c r="A283" s="20" t="n"/>
      <c r="B283" s="20" t="n"/>
      <c r="C283" s="20" t="n"/>
      <c r="D283" s="16" t="n"/>
      <c r="E283" s="16" t="n"/>
      <c r="F283" s="21" t="n"/>
      <c r="G283" s="21" t="n"/>
      <c r="H283" s="15">
        <f>IF(F283="","",F283-N(G283))</f>
        <v/>
      </c>
      <c r="I283">
        <f>IF(OR(F283="",E283=""),"",MAX(0,Parametros!$B$1-E283))</f>
        <v/>
      </c>
      <c r="J283">
        <f>IF(OR(H283="",I283=""),"",IF(H283&lt;=0,"Pagada",IF(I283=0,"No vencida",IF(I283&lt;=30,"1-30",IF(I283&lt;=60,"31-60",IF(I283&lt;=90,"61-90",IF(I283&lt;=180,"91-180",IF(I283&lt;=360,"181-360","Más de 360"))))))))</f>
        <v/>
      </c>
      <c r="K283" s="14">
        <f>IF(OR(J283="",J283="Pagada"),"",VLOOKUP(J283,Parametros!$A$4:$B$10,2,FALSE))</f>
        <v/>
      </c>
      <c r="L283" s="15">
        <f>IF(K283="","",H283*K283)</f>
        <v/>
      </c>
    </row>
    <row r="284">
      <c r="A284" s="20" t="n"/>
      <c r="B284" s="20" t="n"/>
      <c r="C284" s="20" t="n"/>
      <c r="D284" s="16" t="n"/>
      <c r="E284" s="16" t="n"/>
      <c r="F284" s="21" t="n"/>
      <c r="G284" s="21" t="n"/>
      <c r="H284" s="15">
        <f>IF(F284="","",F284-N(G284))</f>
        <v/>
      </c>
      <c r="I284">
        <f>IF(OR(F284="",E284=""),"",MAX(0,Parametros!$B$1-E284))</f>
        <v/>
      </c>
      <c r="J284">
        <f>IF(OR(H284="",I284=""),"",IF(H284&lt;=0,"Pagada",IF(I284=0,"No vencida",IF(I284&lt;=30,"1-30",IF(I284&lt;=60,"31-60",IF(I284&lt;=90,"61-90",IF(I284&lt;=180,"91-180",IF(I284&lt;=360,"181-360","Más de 360"))))))))</f>
        <v/>
      </c>
      <c r="K284" s="14">
        <f>IF(OR(J284="",J284="Pagada"),"",VLOOKUP(J284,Parametros!$A$4:$B$10,2,FALSE))</f>
        <v/>
      </c>
      <c r="L284" s="15">
        <f>IF(K284="","",H284*K284)</f>
        <v/>
      </c>
    </row>
    <row r="285">
      <c r="A285" s="20" t="n"/>
      <c r="B285" s="20" t="n"/>
      <c r="C285" s="20" t="n"/>
      <c r="D285" s="16" t="n"/>
      <c r="E285" s="16" t="n"/>
      <c r="F285" s="21" t="n"/>
      <c r="G285" s="21" t="n"/>
      <c r="H285" s="15">
        <f>IF(F285="","",F285-N(G285))</f>
        <v/>
      </c>
      <c r="I285">
        <f>IF(OR(F285="",E285=""),"",MAX(0,Parametros!$B$1-E285))</f>
        <v/>
      </c>
      <c r="J285">
        <f>IF(OR(H285="",I285=""),"",IF(H285&lt;=0,"Pagada",IF(I285=0,"No vencida",IF(I285&lt;=30,"1-30",IF(I285&lt;=60,"31-60",IF(I285&lt;=90,"61-90",IF(I285&lt;=180,"91-180",IF(I285&lt;=360,"181-360","Más de 360"))))))))</f>
        <v/>
      </c>
      <c r="K285" s="14">
        <f>IF(OR(J285="",J285="Pagada"),"",VLOOKUP(J285,Parametros!$A$4:$B$10,2,FALSE))</f>
        <v/>
      </c>
      <c r="L285" s="15">
        <f>IF(K285="","",H285*K285)</f>
        <v/>
      </c>
    </row>
    <row r="286">
      <c r="A286" s="20" t="n"/>
      <c r="B286" s="20" t="n"/>
      <c r="C286" s="20" t="n"/>
      <c r="D286" s="16" t="n"/>
      <c r="E286" s="16" t="n"/>
      <c r="F286" s="21" t="n"/>
      <c r="G286" s="21" t="n"/>
      <c r="H286" s="15">
        <f>IF(F286="","",F286-N(G286))</f>
        <v/>
      </c>
      <c r="I286">
        <f>IF(OR(F286="",E286=""),"",MAX(0,Parametros!$B$1-E286))</f>
        <v/>
      </c>
      <c r="J286">
        <f>IF(OR(H286="",I286=""),"",IF(H286&lt;=0,"Pagada",IF(I286=0,"No vencida",IF(I286&lt;=30,"1-30",IF(I286&lt;=60,"31-60",IF(I286&lt;=90,"61-90",IF(I286&lt;=180,"91-180",IF(I286&lt;=360,"181-360","Más de 360"))))))))</f>
        <v/>
      </c>
      <c r="K286" s="14">
        <f>IF(OR(J286="",J286="Pagada"),"",VLOOKUP(J286,Parametros!$A$4:$B$10,2,FALSE))</f>
        <v/>
      </c>
      <c r="L286" s="15">
        <f>IF(K286="","",H286*K286)</f>
        <v/>
      </c>
    </row>
    <row r="287">
      <c r="A287" s="20" t="n"/>
      <c r="B287" s="20" t="n"/>
      <c r="C287" s="20" t="n"/>
      <c r="D287" s="16" t="n"/>
      <c r="E287" s="16" t="n"/>
      <c r="F287" s="21" t="n"/>
      <c r="G287" s="21" t="n"/>
      <c r="H287" s="15">
        <f>IF(F287="","",F287-N(G287))</f>
        <v/>
      </c>
      <c r="I287">
        <f>IF(OR(F287="",E287=""),"",MAX(0,Parametros!$B$1-E287))</f>
        <v/>
      </c>
      <c r="J287">
        <f>IF(OR(H287="",I287=""),"",IF(H287&lt;=0,"Pagada",IF(I287=0,"No vencida",IF(I287&lt;=30,"1-30",IF(I287&lt;=60,"31-60",IF(I287&lt;=90,"61-90",IF(I287&lt;=180,"91-180",IF(I287&lt;=360,"181-360","Más de 360"))))))))</f>
        <v/>
      </c>
      <c r="K287" s="14">
        <f>IF(OR(J287="",J287="Pagada"),"",VLOOKUP(J287,Parametros!$A$4:$B$10,2,FALSE))</f>
        <v/>
      </c>
      <c r="L287" s="15">
        <f>IF(K287="","",H287*K287)</f>
        <v/>
      </c>
    </row>
    <row r="288">
      <c r="A288" s="20" t="n"/>
      <c r="B288" s="20" t="n"/>
      <c r="C288" s="20" t="n"/>
      <c r="D288" s="16" t="n"/>
      <c r="E288" s="16" t="n"/>
      <c r="F288" s="21" t="n"/>
      <c r="G288" s="21" t="n"/>
      <c r="H288" s="15">
        <f>IF(F288="","",F288-N(G288))</f>
        <v/>
      </c>
      <c r="I288">
        <f>IF(OR(F288="",E288=""),"",MAX(0,Parametros!$B$1-E288))</f>
        <v/>
      </c>
      <c r="J288">
        <f>IF(OR(H288="",I288=""),"",IF(H288&lt;=0,"Pagada",IF(I288=0,"No vencida",IF(I288&lt;=30,"1-30",IF(I288&lt;=60,"31-60",IF(I288&lt;=90,"61-90",IF(I288&lt;=180,"91-180",IF(I288&lt;=360,"181-360","Más de 360"))))))))</f>
        <v/>
      </c>
      <c r="K288" s="14">
        <f>IF(OR(J288="",J288="Pagada"),"",VLOOKUP(J288,Parametros!$A$4:$B$10,2,FALSE))</f>
        <v/>
      </c>
      <c r="L288" s="15">
        <f>IF(K288="","",H288*K288)</f>
        <v/>
      </c>
    </row>
    <row r="289">
      <c r="A289" s="20" t="n"/>
      <c r="B289" s="20" t="n"/>
      <c r="C289" s="20" t="n"/>
      <c r="D289" s="16" t="n"/>
      <c r="E289" s="16" t="n"/>
      <c r="F289" s="21" t="n"/>
      <c r="G289" s="21" t="n"/>
      <c r="H289" s="15">
        <f>IF(F289="","",F289-N(G289))</f>
        <v/>
      </c>
      <c r="I289">
        <f>IF(OR(F289="",E289=""),"",MAX(0,Parametros!$B$1-E289))</f>
        <v/>
      </c>
      <c r="J289">
        <f>IF(OR(H289="",I289=""),"",IF(H289&lt;=0,"Pagada",IF(I289=0,"No vencida",IF(I289&lt;=30,"1-30",IF(I289&lt;=60,"31-60",IF(I289&lt;=90,"61-90",IF(I289&lt;=180,"91-180",IF(I289&lt;=360,"181-360","Más de 360"))))))))</f>
        <v/>
      </c>
      <c r="K289" s="14">
        <f>IF(OR(J289="",J289="Pagada"),"",VLOOKUP(J289,Parametros!$A$4:$B$10,2,FALSE))</f>
        <v/>
      </c>
      <c r="L289" s="15">
        <f>IF(K289="","",H289*K289)</f>
        <v/>
      </c>
    </row>
    <row r="290">
      <c r="A290" s="20" t="n"/>
      <c r="B290" s="20" t="n"/>
      <c r="C290" s="20" t="n"/>
      <c r="D290" s="16" t="n"/>
      <c r="E290" s="16" t="n"/>
      <c r="F290" s="21" t="n"/>
      <c r="G290" s="21" t="n"/>
      <c r="H290" s="15">
        <f>IF(F290="","",F290-N(G290))</f>
        <v/>
      </c>
      <c r="I290">
        <f>IF(OR(F290="",E290=""),"",MAX(0,Parametros!$B$1-E290))</f>
        <v/>
      </c>
      <c r="J290">
        <f>IF(OR(H290="",I290=""),"",IF(H290&lt;=0,"Pagada",IF(I290=0,"No vencida",IF(I290&lt;=30,"1-30",IF(I290&lt;=60,"31-60",IF(I290&lt;=90,"61-90",IF(I290&lt;=180,"91-180",IF(I290&lt;=360,"181-360","Más de 360"))))))))</f>
        <v/>
      </c>
      <c r="K290" s="14">
        <f>IF(OR(J290="",J290="Pagada"),"",VLOOKUP(J290,Parametros!$A$4:$B$10,2,FALSE))</f>
        <v/>
      </c>
      <c r="L290" s="15">
        <f>IF(K290="","",H290*K290)</f>
        <v/>
      </c>
    </row>
    <row r="291">
      <c r="A291" s="20" t="n"/>
      <c r="B291" s="20" t="n"/>
      <c r="C291" s="20" t="n"/>
      <c r="D291" s="16" t="n"/>
      <c r="E291" s="16" t="n"/>
      <c r="F291" s="21" t="n"/>
      <c r="G291" s="21" t="n"/>
      <c r="H291" s="15">
        <f>IF(F291="","",F291-N(G291))</f>
        <v/>
      </c>
      <c r="I291">
        <f>IF(OR(F291="",E291=""),"",MAX(0,Parametros!$B$1-E291))</f>
        <v/>
      </c>
      <c r="J291">
        <f>IF(OR(H291="",I291=""),"",IF(H291&lt;=0,"Pagada",IF(I291=0,"No vencida",IF(I291&lt;=30,"1-30",IF(I291&lt;=60,"31-60",IF(I291&lt;=90,"61-90",IF(I291&lt;=180,"91-180",IF(I291&lt;=360,"181-360","Más de 360"))))))))</f>
        <v/>
      </c>
      <c r="K291" s="14">
        <f>IF(OR(J291="",J291="Pagada"),"",VLOOKUP(J291,Parametros!$A$4:$B$10,2,FALSE))</f>
        <v/>
      </c>
      <c r="L291" s="15">
        <f>IF(K291="","",H291*K291)</f>
        <v/>
      </c>
    </row>
    <row r="292">
      <c r="A292" s="20" t="n"/>
      <c r="B292" s="20" t="n"/>
      <c r="C292" s="20" t="n"/>
      <c r="D292" s="16" t="n"/>
      <c r="E292" s="16" t="n"/>
      <c r="F292" s="21" t="n"/>
      <c r="G292" s="21" t="n"/>
      <c r="H292" s="15">
        <f>IF(F292="","",F292-N(G292))</f>
        <v/>
      </c>
      <c r="I292">
        <f>IF(OR(F292="",E292=""),"",MAX(0,Parametros!$B$1-E292))</f>
        <v/>
      </c>
      <c r="J292">
        <f>IF(OR(H292="",I292=""),"",IF(H292&lt;=0,"Pagada",IF(I292=0,"No vencida",IF(I292&lt;=30,"1-30",IF(I292&lt;=60,"31-60",IF(I292&lt;=90,"61-90",IF(I292&lt;=180,"91-180",IF(I292&lt;=360,"181-360","Más de 360"))))))))</f>
        <v/>
      </c>
      <c r="K292" s="14">
        <f>IF(OR(J292="",J292="Pagada"),"",VLOOKUP(J292,Parametros!$A$4:$B$10,2,FALSE))</f>
        <v/>
      </c>
      <c r="L292" s="15">
        <f>IF(K292="","",H292*K292)</f>
        <v/>
      </c>
    </row>
    <row r="293">
      <c r="A293" s="20" t="n"/>
      <c r="B293" s="20" t="n"/>
      <c r="C293" s="20" t="n"/>
      <c r="D293" s="16" t="n"/>
      <c r="E293" s="16" t="n"/>
      <c r="F293" s="21" t="n"/>
      <c r="G293" s="21" t="n"/>
      <c r="H293" s="15">
        <f>IF(F293="","",F293-N(G293))</f>
        <v/>
      </c>
      <c r="I293">
        <f>IF(OR(F293="",E293=""),"",MAX(0,Parametros!$B$1-E293))</f>
        <v/>
      </c>
      <c r="J293">
        <f>IF(OR(H293="",I293=""),"",IF(H293&lt;=0,"Pagada",IF(I293=0,"No vencida",IF(I293&lt;=30,"1-30",IF(I293&lt;=60,"31-60",IF(I293&lt;=90,"61-90",IF(I293&lt;=180,"91-180",IF(I293&lt;=360,"181-360","Más de 360"))))))))</f>
        <v/>
      </c>
      <c r="K293" s="14">
        <f>IF(OR(J293="",J293="Pagada"),"",VLOOKUP(J293,Parametros!$A$4:$B$10,2,FALSE))</f>
        <v/>
      </c>
      <c r="L293" s="15">
        <f>IF(K293="","",H293*K293)</f>
        <v/>
      </c>
    </row>
    <row r="294">
      <c r="A294" s="20" t="n"/>
      <c r="B294" s="20" t="n"/>
      <c r="C294" s="20" t="n"/>
      <c r="D294" s="16" t="n"/>
      <c r="E294" s="16" t="n"/>
      <c r="F294" s="21" t="n"/>
      <c r="G294" s="21" t="n"/>
      <c r="H294" s="15">
        <f>IF(F294="","",F294-N(G294))</f>
        <v/>
      </c>
      <c r="I294">
        <f>IF(OR(F294="",E294=""),"",MAX(0,Parametros!$B$1-E294))</f>
        <v/>
      </c>
      <c r="J294">
        <f>IF(OR(H294="",I294=""),"",IF(H294&lt;=0,"Pagada",IF(I294=0,"No vencida",IF(I294&lt;=30,"1-30",IF(I294&lt;=60,"31-60",IF(I294&lt;=90,"61-90",IF(I294&lt;=180,"91-180",IF(I294&lt;=360,"181-360","Más de 360"))))))))</f>
        <v/>
      </c>
      <c r="K294" s="14">
        <f>IF(OR(J294="",J294="Pagada"),"",VLOOKUP(J294,Parametros!$A$4:$B$10,2,FALSE))</f>
        <v/>
      </c>
      <c r="L294" s="15">
        <f>IF(K294="","",H294*K294)</f>
        <v/>
      </c>
    </row>
    <row r="295">
      <c r="A295" s="20" t="n"/>
      <c r="B295" s="20" t="n"/>
      <c r="C295" s="20" t="n"/>
      <c r="D295" s="16" t="n"/>
      <c r="E295" s="16" t="n"/>
      <c r="F295" s="21" t="n"/>
      <c r="G295" s="21" t="n"/>
      <c r="H295" s="15">
        <f>IF(F295="","",F295-N(G295))</f>
        <v/>
      </c>
      <c r="I295">
        <f>IF(OR(F295="",E295=""),"",MAX(0,Parametros!$B$1-E295))</f>
        <v/>
      </c>
      <c r="J295">
        <f>IF(OR(H295="",I295=""),"",IF(H295&lt;=0,"Pagada",IF(I295=0,"No vencida",IF(I295&lt;=30,"1-30",IF(I295&lt;=60,"31-60",IF(I295&lt;=90,"61-90",IF(I295&lt;=180,"91-180",IF(I295&lt;=360,"181-360","Más de 360"))))))))</f>
        <v/>
      </c>
      <c r="K295" s="14">
        <f>IF(OR(J295="",J295="Pagada"),"",VLOOKUP(J295,Parametros!$A$4:$B$10,2,FALSE))</f>
        <v/>
      </c>
      <c r="L295" s="15">
        <f>IF(K295="","",H295*K295)</f>
        <v/>
      </c>
    </row>
    <row r="296">
      <c r="A296" s="20" t="n"/>
      <c r="B296" s="20" t="n"/>
      <c r="C296" s="20" t="n"/>
      <c r="D296" s="16" t="n"/>
      <c r="E296" s="16" t="n"/>
      <c r="F296" s="21" t="n"/>
      <c r="G296" s="21" t="n"/>
      <c r="H296" s="15">
        <f>IF(F296="","",F296-N(G296))</f>
        <v/>
      </c>
      <c r="I296">
        <f>IF(OR(F296="",E296=""),"",MAX(0,Parametros!$B$1-E296))</f>
        <v/>
      </c>
      <c r="J296">
        <f>IF(OR(H296="",I296=""),"",IF(H296&lt;=0,"Pagada",IF(I296=0,"No vencida",IF(I296&lt;=30,"1-30",IF(I296&lt;=60,"31-60",IF(I296&lt;=90,"61-90",IF(I296&lt;=180,"91-180",IF(I296&lt;=360,"181-360","Más de 360"))))))))</f>
        <v/>
      </c>
      <c r="K296" s="14">
        <f>IF(OR(J296="",J296="Pagada"),"",VLOOKUP(J296,Parametros!$A$4:$B$10,2,FALSE))</f>
        <v/>
      </c>
      <c r="L296" s="15">
        <f>IF(K296="","",H296*K296)</f>
        <v/>
      </c>
    </row>
    <row r="297">
      <c r="A297" s="20" t="n"/>
      <c r="B297" s="20" t="n"/>
      <c r="C297" s="20" t="n"/>
      <c r="D297" s="16" t="n"/>
      <c r="E297" s="16" t="n"/>
      <c r="F297" s="21" t="n"/>
      <c r="G297" s="21" t="n"/>
      <c r="H297" s="15">
        <f>IF(F297="","",F297-N(G297))</f>
        <v/>
      </c>
      <c r="I297">
        <f>IF(OR(F297="",E297=""),"",MAX(0,Parametros!$B$1-E297))</f>
        <v/>
      </c>
      <c r="J297">
        <f>IF(OR(H297="",I297=""),"",IF(H297&lt;=0,"Pagada",IF(I297=0,"No vencida",IF(I297&lt;=30,"1-30",IF(I297&lt;=60,"31-60",IF(I297&lt;=90,"61-90",IF(I297&lt;=180,"91-180",IF(I297&lt;=360,"181-360","Más de 360"))))))))</f>
        <v/>
      </c>
      <c r="K297" s="14">
        <f>IF(OR(J297="",J297="Pagada"),"",VLOOKUP(J297,Parametros!$A$4:$B$10,2,FALSE))</f>
        <v/>
      </c>
      <c r="L297" s="15">
        <f>IF(K297="","",H297*K297)</f>
        <v/>
      </c>
    </row>
    <row r="298">
      <c r="A298" s="20" t="n"/>
      <c r="B298" s="20" t="n"/>
      <c r="C298" s="20" t="n"/>
      <c r="D298" s="16" t="n"/>
      <c r="E298" s="16" t="n"/>
      <c r="F298" s="21" t="n"/>
      <c r="G298" s="21" t="n"/>
      <c r="H298" s="15">
        <f>IF(F298="","",F298-N(G298))</f>
        <v/>
      </c>
      <c r="I298">
        <f>IF(OR(F298="",E298=""),"",MAX(0,Parametros!$B$1-E298))</f>
        <v/>
      </c>
      <c r="J298">
        <f>IF(OR(H298="",I298=""),"",IF(H298&lt;=0,"Pagada",IF(I298=0,"No vencida",IF(I298&lt;=30,"1-30",IF(I298&lt;=60,"31-60",IF(I298&lt;=90,"61-90",IF(I298&lt;=180,"91-180",IF(I298&lt;=360,"181-360","Más de 360"))))))))</f>
        <v/>
      </c>
      <c r="K298" s="14">
        <f>IF(OR(J298="",J298="Pagada"),"",VLOOKUP(J298,Parametros!$A$4:$B$10,2,FALSE))</f>
        <v/>
      </c>
      <c r="L298" s="15">
        <f>IF(K298="","",H298*K298)</f>
        <v/>
      </c>
    </row>
    <row r="299">
      <c r="A299" s="20" t="n"/>
      <c r="B299" s="20" t="n"/>
      <c r="C299" s="20" t="n"/>
      <c r="D299" s="16" t="n"/>
      <c r="E299" s="16" t="n"/>
      <c r="F299" s="21" t="n"/>
      <c r="G299" s="21" t="n"/>
      <c r="H299" s="15">
        <f>IF(F299="","",F299-N(G299))</f>
        <v/>
      </c>
      <c r="I299">
        <f>IF(OR(F299="",E299=""),"",MAX(0,Parametros!$B$1-E299))</f>
        <v/>
      </c>
      <c r="J299">
        <f>IF(OR(H299="",I299=""),"",IF(H299&lt;=0,"Pagada",IF(I299=0,"No vencida",IF(I299&lt;=30,"1-30",IF(I299&lt;=60,"31-60",IF(I299&lt;=90,"61-90",IF(I299&lt;=180,"91-180",IF(I299&lt;=360,"181-360","Más de 360"))))))))</f>
        <v/>
      </c>
      <c r="K299" s="14">
        <f>IF(OR(J299="",J299="Pagada"),"",VLOOKUP(J299,Parametros!$A$4:$B$10,2,FALSE))</f>
        <v/>
      </c>
      <c r="L299" s="15">
        <f>IF(K299="","",H299*K299)</f>
        <v/>
      </c>
    </row>
    <row r="300">
      <c r="A300" s="20" t="n"/>
      <c r="B300" s="20" t="n"/>
      <c r="C300" s="20" t="n"/>
      <c r="D300" s="16" t="n"/>
      <c r="E300" s="16" t="n"/>
      <c r="F300" s="21" t="n"/>
      <c r="G300" s="21" t="n"/>
      <c r="H300" s="15">
        <f>IF(F300="","",F300-N(G300))</f>
        <v/>
      </c>
      <c r="I300">
        <f>IF(OR(F300="",E300=""),"",MAX(0,Parametros!$B$1-E300))</f>
        <v/>
      </c>
      <c r="J300">
        <f>IF(OR(H300="",I300=""),"",IF(H300&lt;=0,"Pagada",IF(I300=0,"No vencida",IF(I300&lt;=30,"1-30",IF(I300&lt;=60,"31-60",IF(I300&lt;=90,"61-90",IF(I300&lt;=180,"91-180",IF(I300&lt;=360,"181-360","Más de 360"))))))))</f>
        <v/>
      </c>
      <c r="K300" s="14">
        <f>IF(OR(J300="",J300="Pagada"),"",VLOOKUP(J300,Parametros!$A$4:$B$10,2,FALSE))</f>
        <v/>
      </c>
      <c r="L300" s="15">
        <f>IF(K300="","",H300*K300)</f>
        <v/>
      </c>
    </row>
    <row r="301">
      <c r="A301" s="20" t="n"/>
      <c r="B301" s="20" t="n"/>
      <c r="C301" s="20" t="n"/>
      <c r="D301" s="16" t="n"/>
      <c r="E301" s="16" t="n"/>
      <c r="F301" s="21" t="n"/>
      <c r="G301" s="21" t="n"/>
      <c r="H301" s="15">
        <f>IF(F301="","",F301-N(G301))</f>
        <v/>
      </c>
      <c r="I301">
        <f>IF(OR(F301="",E301=""),"",MAX(0,Parametros!$B$1-E301))</f>
        <v/>
      </c>
      <c r="J301">
        <f>IF(OR(H301="",I301=""),"",IF(H301&lt;=0,"Pagada",IF(I301=0,"No vencida",IF(I301&lt;=30,"1-30",IF(I301&lt;=60,"31-60",IF(I301&lt;=90,"61-90",IF(I301&lt;=180,"91-180",IF(I301&lt;=360,"181-360","Más de 360"))))))))</f>
        <v/>
      </c>
      <c r="K301" s="14">
        <f>IF(OR(J301="",J301="Pagada"),"",VLOOKUP(J301,Parametros!$A$4:$B$10,2,FALSE))</f>
        <v/>
      </c>
      <c r="L301" s="15">
        <f>IF(K301="","",H301*K301)</f>
        <v/>
      </c>
    </row>
    <row r="302">
      <c r="A302" s="20" t="n"/>
      <c r="B302" s="20" t="n"/>
      <c r="C302" s="20" t="n"/>
      <c r="D302" s="16" t="n"/>
      <c r="E302" s="16" t="n"/>
      <c r="F302" s="21" t="n"/>
      <c r="G302" s="21" t="n"/>
      <c r="H302" s="15">
        <f>IF(F302="","",F302-N(G302))</f>
        <v/>
      </c>
      <c r="I302">
        <f>IF(OR(F302="",E302=""),"",MAX(0,Parametros!$B$1-E302))</f>
        <v/>
      </c>
      <c r="J302">
        <f>IF(OR(H302="",I302=""),"",IF(H302&lt;=0,"Pagada",IF(I302=0,"No vencida",IF(I302&lt;=30,"1-30",IF(I302&lt;=60,"31-60",IF(I302&lt;=90,"61-90",IF(I302&lt;=180,"91-180",IF(I302&lt;=360,"181-360","Más de 360"))))))))</f>
        <v/>
      </c>
      <c r="K302" s="14">
        <f>IF(OR(J302="",J302="Pagada"),"",VLOOKUP(J302,Parametros!$A$4:$B$10,2,FALSE))</f>
        <v/>
      </c>
      <c r="L302" s="15">
        <f>IF(K302="","",H302*K302)</f>
        <v/>
      </c>
    </row>
    <row r="303">
      <c r="A303" s="20" t="n"/>
      <c r="B303" s="20" t="n"/>
      <c r="C303" s="20" t="n"/>
      <c r="D303" s="16" t="n"/>
      <c r="E303" s="16" t="n"/>
      <c r="F303" s="21" t="n"/>
      <c r="G303" s="21" t="n"/>
      <c r="H303" s="15">
        <f>IF(F303="","",F303-N(G303))</f>
        <v/>
      </c>
      <c r="I303">
        <f>IF(OR(F303="",E303=""),"",MAX(0,Parametros!$B$1-E303))</f>
        <v/>
      </c>
      <c r="J303">
        <f>IF(OR(H303="",I303=""),"",IF(H303&lt;=0,"Pagada",IF(I303=0,"No vencida",IF(I303&lt;=30,"1-30",IF(I303&lt;=60,"31-60",IF(I303&lt;=90,"61-90",IF(I303&lt;=180,"91-180",IF(I303&lt;=360,"181-360","Más de 360"))))))))</f>
        <v/>
      </c>
      <c r="K303" s="14">
        <f>IF(OR(J303="",J303="Pagada"),"",VLOOKUP(J303,Parametros!$A$4:$B$10,2,FALSE))</f>
        <v/>
      </c>
      <c r="L303" s="15">
        <f>IF(K303="","",H303*K303)</f>
        <v/>
      </c>
    </row>
    <row r="304">
      <c r="A304" s="20" t="n"/>
      <c r="B304" s="20" t="n"/>
      <c r="C304" s="20" t="n"/>
      <c r="D304" s="16" t="n"/>
      <c r="E304" s="16" t="n"/>
      <c r="F304" s="21" t="n"/>
      <c r="G304" s="21" t="n"/>
      <c r="H304" s="15">
        <f>IF(F304="","",F304-N(G304))</f>
        <v/>
      </c>
      <c r="I304">
        <f>IF(OR(F304="",E304=""),"",MAX(0,Parametros!$B$1-E304))</f>
        <v/>
      </c>
      <c r="J304">
        <f>IF(OR(H304="",I304=""),"",IF(H304&lt;=0,"Pagada",IF(I304=0,"No vencida",IF(I304&lt;=30,"1-30",IF(I304&lt;=60,"31-60",IF(I304&lt;=90,"61-90",IF(I304&lt;=180,"91-180",IF(I304&lt;=360,"181-360","Más de 360"))))))))</f>
        <v/>
      </c>
      <c r="K304" s="14">
        <f>IF(OR(J304="",J304="Pagada"),"",VLOOKUP(J304,Parametros!$A$4:$B$10,2,FALSE))</f>
        <v/>
      </c>
      <c r="L304" s="15">
        <f>IF(K304="","",H304*K304)</f>
        <v/>
      </c>
    </row>
    <row r="305">
      <c r="A305" s="20" t="n"/>
      <c r="B305" s="20" t="n"/>
      <c r="C305" s="20" t="n"/>
      <c r="D305" s="16" t="n"/>
      <c r="E305" s="16" t="n"/>
      <c r="F305" s="21" t="n"/>
      <c r="G305" s="21" t="n"/>
      <c r="H305" s="15">
        <f>IF(F305="","",F305-N(G305))</f>
        <v/>
      </c>
      <c r="I305">
        <f>IF(OR(F305="",E305=""),"",MAX(0,Parametros!$B$1-E305))</f>
        <v/>
      </c>
      <c r="J305">
        <f>IF(OR(H305="",I305=""),"",IF(H305&lt;=0,"Pagada",IF(I305=0,"No vencida",IF(I305&lt;=30,"1-30",IF(I305&lt;=60,"31-60",IF(I305&lt;=90,"61-90",IF(I305&lt;=180,"91-180",IF(I305&lt;=360,"181-360","Más de 360"))))))))</f>
        <v/>
      </c>
      <c r="K305" s="14">
        <f>IF(OR(J305="",J305="Pagada"),"",VLOOKUP(J305,Parametros!$A$4:$B$10,2,FALSE))</f>
        <v/>
      </c>
      <c r="L305" s="15">
        <f>IF(K305="","",H305*K305)</f>
        <v/>
      </c>
    </row>
    <row r="306">
      <c r="A306" s="20" t="n"/>
      <c r="B306" s="20" t="n"/>
      <c r="C306" s="20" t="n"/>
      <c r="D306" s="16" t="n"/>
      <c r="E306" s="16" t="n"/>
      <c r="F306" s="21" t="n"/>
      <c r="G306" s="21" t="n"/>
      <c r="H306" s="15">
        <f>IF(F306="","",F306-N(G306))</f>
        <v/>
      </c>
      <c r="I306">
        <f>IF(OR(F306="",E306=""),"",MAX(0,Parametros!$B$1-E306))</f>
        <v/>
      </c>
      <c r="J306">
        <f>IF(OR(H306="",I306=""),"",IF(H306&lt;=0,"Pagada",IF(I306=0,"No vencida",IF(I306&lt;=30,"1-30",IF(I306&lt;=60,"31-60",IF(I306&lt;=90,"61-90",IF(I306&lt;=180,"91-180",IF(I306&lt;=360,"181-360","Más de 360"))))))))</f>
        <v/>
      </c>
      <c r="K306" s="14">
        <f>IF(OR(J306="",J306="Pagada"),"",VLOOKUP(J306,Parametros!$A$4:$B$10,2,FALSE))</f>
        <v/>
      </c>
      <c r="L306" s="15">
        <f>IF(K306="","",H306*K306)</f>
        <v/>
      </c>
    </row>
    <row r="307">
      <c r="A307" s="20" t="n"/>
      <c r="B307" s="20" t="n"/>
      <c r="C307" s="20" t="n"/>
      <c r="D307" s="16" t="n"/>
      <c r="E307" s="16" t="n"/>
      <c r="F307" s="21" t="n"/>
      <c r="G307" s="21" t="n"/>
      <c r="H307" s="15">
        <f>IF(F307="","",F307-N(G307))</f>
        <v/>
      </c>
      <c r="I307">
        <f>IF(OR(F307="",E307=""),"",MAX(0,Parametros!$B$1-E307))</f>
        <v/>
      </c>
      <c r="J307">
        <f>IF(OR(H307="",I307=""),"",IF(H307&lt;=0,"Pagada",IF(I307=0,"No vencida",IF(I307&lt;=30,"1-30",IF(I307&lt;=60,"31-60",IF(I307&lt;=90,"61-90",IF(I307&lt;=180,"91-180",IF(I307&lt;=360,"181-360","Más de 360"))))))))</f>
        <v/>
      </c>
      <c r="K307" s="14">
        <f>IF(OR(J307="",J307="Pagada"),"",VLOOKUP(J307,Parametros!$A$4:$B$10,2,FALSE))</f>
        <v/>
      </c>
      <c r="L307" s="15">
        <f>IF(K307="","",H307*K307)</f>
        <v/>
      </c>
    </row>
    <row r="308">
      <c r="A308" s="20" t="n"/>
      <c r="B308" s="20" t="n"/>
      <c r="C308" s="20" t="n"/>
      <c r="D308" s="16" t="n"/>
      <c r="E308" s="16" t="n"/>
      <c r="F308" s="21" t="n"/>
      <c r="G308" s="21" t="n"/>
      <c r="H308" s="15">
        <f>IF(F308="","",F308-N(G308))</f>
        <v/>
      </c>
      <c r="I308">
        <f>IF(OR(F308="",E308=""),"",MAX(0,Parametros!$B$1-E308))</f>
        <v/>
      </c>
      <c r="J308">
        <f>IF(OR(H308="",I308=""),"",IF(H308&lt;=0,"Pagada",IF(I308=0,"No vencida",IF(I308&lt;=30,"1-30",IF(I308&lt;=60,"31-60",IF(I308&lt;=90,"61-90",IF(I308&lt;=180,"91-180",IF(I308&lt;=360,"181-360","Más de 360"))))))))</f>
        <v/>
      </c>
      <c r="K308" s="14">
        <f>IF(OR(J308="",J308="Pagada"),"",VLOOKUP(J308,Parametros!$A$4:$B$10,2,FALSE))</f>
        <v/>
      </c>
      <c r="L308" s="15">
        <f>IF(K308="","",H308*K308)</f>
        <v/>
      </c>
    </row>
    <row r="309">
      <c r="A309" s="20" t="n"/>
      <c r="B309" s="20" t="n"/>
      <c r="C309" s="20" t="n"/>
      <c r="D309" s="16" t="n"/>
      <c r="E309" s="16" t="n"/>
      <c r="F309" s="21" t="n"/>
      <c r="G309" s="21" t="n"/>
      <c r="H309" s="15">
        <f>IF(F309="","",F309-N(G309))</f>
        <v/>
      </c>
      <c r="I309">
        <f>IF(OR(F309="",E309=""),"",MAX(0,Parametros!$B$1-E309))</f>
        <v/>
      </c>
      <c r="J309">
        <f>IF(OR(H309="",I309=""),"",IF(H309&lt;=0,"Pagada",IF(I309=0,"No vencida",IF(I309&lt;=30,"1-30",IF(I309&lt;=60,"31-60",IF(I309&lt;=90,"61-90",IF(I309&lt;=180,"91-180",IF(I309&lt;=360,"181-360","Más de 360"))))))))</f>
        <v/>
      </c>
      <c r="K309" s="14">
        <f>IF(OR(J309="",J309="Pagada"),"",VLOOKUP(J309,Parametros!$A$4:$B$10,2,FALSE))</f>
        <v/>
      </c>
      <c r="L309" s="15">
        <f>IF(K309="","",H309*K309)</f>
        <v/>
      </c>
    </row>
    <row r="310">
      <c r="A310" s="20" t="n"/>
      <c r="B310" s="20" t="n"/>
      <c r="C310" s="20" t="n"/>
      <c r="D310" s="16" t="n"/>
      <c r="E310" s="16" t="n"/>
      <c r="F310" s="21" t="n"/>
      <c r="G310" s="21" t="n"/>
      <c r="H310" s="15">
        <f>IF(F310="","",F310-N(G310))</f>
        <v/>
      </c>
      <c r="I310">
        <f>IF(OR(F310="",E310=""),"",MAX(0,Parametros!$B$1-E310))</f>
        <v/>
      </c>
      <c r="J310">
        <f>IF(OR(H310="",I310=""),"",IF(H310&lt;=0,"Pagada",IF(I310=0,"No vencida",IF(I310&lt;=30,"1-30",IF(I310&lt;=60,"31-60",IF(I310&lt;=90,"61-90",IF(I310&lt;=180,"91-180",IF(I310&lt;=360,"181-360","Más de 360"))))))))</f>
        <v/>
      </c>
      <c r="K310" s="14">
        <f>IF(OR(J310="",J310="Pagada"),"",VLOOKUP(J310,Parametros!$A$4:$B$10,2,FALSE))</f>
        <v/>
      </c>
      <c r="L310" s="15">
        <f>IF(K310="","",H310*K310)</f>
        <v/>
      </c>
    </row>
    <row r="311">
      <c r="A311" s="20" t="n"/>
      <c r="B311" s="20" t="n"/>
      <c r="C311" s="20" t="n"/>
      <c r="D311" s="16" t="n"/>
      <c r="E311" s="16" t="n"/>
      <c r="F311" s="21" t="n"/>
      <c r="G311" s="21" t="n"/>
      <c r="H311" s="15">
        <f>IF(F311="","",F311-N(G311))</f>
        <v/>
      </c>
      <c r="I311">
        <f>IF(OR(F311="",E311=""),"",MAX(0,Parametros!$B$1-E311))</f>
        <v/>
      </c>
      <c r="J311">
        <f>IF(OR(H311="",I311=""),"",IF(H311&lt;=0,"Pagada",IF(I311=0,"No vencida",IF(I311&lt;=30,"1-30",IF(I311&lt;=60,"31-60",IF(I311&lt;=90,"61-90",IF(I311&lt;=180,"91-180",IF(I311&lt;=360,"181-360","Más de 360"))))))))</f>
        <v/>
      </c>
      <c r="K311" s="14">
        <f>IF(OR(J311="",J311="Pagada"),"",VLOOKUP(J311,Parametros!$A$4:$B$10,2,FALSE))</f>
        <v/>
      </c>
      <c r="L311" s="15">
        <f>IF(K311="","",H311*K311)</f>
        <v/>
      </c>
    </row>
    <row r="312">
      <c r="A312" s="20" t="n"/>
      <c r="B312" s="20" t="n"/>
      <c r="C312" s="20" t="n"/>
      <c r="D312" s="16" t="n"/>
      <c r="E312" s="16" t="n"/>
      <c r="F312" s="21" t="n"/>
      <c r="G312" s="21" t="n"/>
      <c r="H312" s="15">
        <f>IF(F312="","",F312-N(G312))</f>
        <v/>
      </c>
      <c r="I312">
        <f>IF(OR(F312="",E312=""),"",MAX(0,Parametros!$B$1-E312))</f>
        <v/>
      </c>
      <c r="J312">
        <f>IF(OR(H312="",I312=""),"",IF(H312&lt;=0,"Pagada",IF(I312=0,"No vencida",IF(I312&lt;=30,"1-30",IF(I312&lt;=60,"31-60",IF(I312&lt;=90,"61-90",IF(I312&lt;=180,"91-180",IF(I312&lt;=360,"181-360","Más de 360"))))))))</f>
        <v/>
      </c>
      <c r="K312" s="14">
        <f>IF(OR(J312="",J312="Pagada"),"",VLOOKUP(J312,Parametros!$A$4:$B$10,2,FALSE))</f>
        <v/>
      </c>
      <c r="L312" s="15">
        <f>IF(K312="","",H312*K312)</f>
        <v/>
      </c>
    </row>
    <row r="313">
      <c r="A313" s="20" t="n"/>
      <c r="B313" s="20" t="n"/>
      <c r="C313" s="20" t="n"/>
      <c r="D313" s="16" t="n"/>
      <c r="E313" s="16" t="n"/>
      <c r="F313" s="21" t="n"/>
      <c r="G313" s="21" t="n"/>
      <c r="H313" s="15">
        <f>IF(F313="","",F313-N(G313))</f>
        <v/>
      </c>
      <c r="I313">
        <f>IF(OR(F313="",E313=""),"",MAX(0,Parametros!$B$1-E313))</f>
        <v/>
      </c>
      <c r="J313">
        <f>IF(OR(H313="",I313=""),"",IF(H313&lt;=0,"Pagada",IF(I313=0,"No vencida",IF(I313&lt;=30,"1-30",IF(I313&lt;=60,"31-60",IF(I313&lt;=90,"61-90",IF(I313&lt;=180,"91-180",IF(I313&lt;=360,"181-360","Más de 360"))))))))</f>
        <v/>
      </c>
      <c r="K313" s="14">
        <f>IF(OR(J313="",J313="Pagada"),"",VLOOKUP(J313,Parametros!$A$4:$B$10,2,FALSE))</f>
        <v/>
      </c>
      <c r="L313" s="15">
        <f>IF(K313="","",H313*K313)</f>
        <v/>
      </c>
    </row>
    <row r="314">
      <c r="A314" s="20" t="n"/>
      <c r="B314" s="20" t="n"/>
      <c r="C314" s="20" t="n"/>
      <c r="D314" s="16" t="n"/>
      <c r="E314" s="16" t="n"/>
      <c r="F314" s="21" t="n"/>
      <c r="G314" s="21" t="n"/>
      <c r="H314" s="15">
        <f>IF(F314="","",F314-N(G314))</f>
        <v/>
      </c>
      <c r="I314">
        <f>IF(OR(F314="",E314=""),"",MAX(0,Parametros!$B$1-E314))</f>
        <v/>
      </c>
      <c r="J314">
        <f>IF(OR(H314="",I314=""),"",IF(H314&lt;=0,"Pagada",IF(I314=0,"No vencida",IF(I314&lt;=30,"1-30",IF(I314&lt;=60,"31-60",IF(I314&lt;=90,"61-90",IF(I314&lt;=180,"91-180",IF(I314&lt;=360,"181-360","Más de 360"))))))))</f>
        <v/>
      </c>
      <c r="K314" s="14">
        <f>IF(OR(J314="",J314="Pagada"),"",VLOOKUP(J314,Parametros!$A$4:$B$10,2,FALSE))</f>
        <v/>
      </c>
      <c r="L314" s="15">
        <f>IF(K314="","",H314*K314)</f>
        <v/>
      </c>
    </row>
    <row r="315">
      <c r="A315" s="20" t="n"/>
      <c r="B315" s="20" t="n"/>
      <c r="C315" s="20" t="n"/>
      <c r="D315" s="16" t="n"/>
      <c r="E315" s="16" t="n"/>
      <c r="F315" s="21" t="n"/>
      <c r="G315" s="21" t="n"/>
      <c r="H315" s="15">
        <f>IF(F315="","",F315-N(G315))</f>
        <v/>
      </c>
      <c r="I315">
        <f>IF(OR(F315="",E315=""),"",MAX(0,Parametros!$B$1-E315))</f>
        <v/>
      </c>
      <c r="J315">
        <f>IF(OR(H315="",I315=""),"",IF(H315&lt;=0,"Pagada",IF(I315=0,"No vencida",IF(I315&lt;=30,"1-30",IF(I315&lt;=60,"31-60",IF(I315&lt;=90,"61-90",IF(I315&lt;=180,"91-180",IF(I315&lt;=360,"181-360","Más de 360"))))))))</f>
        <v/>
      </c>
      <c r="K315" s="14">
        <f>IF(OR(J315="",J315="Pagada"),"",VLOOKUP(J315,Parametros!$A$4:$B$10,2,FALSE))</f>
        <v/>
      </c>
      <c r="L315" s="15">
        <f>IF(K315="","",H315*K315)</f>
        <v/>
      </c>
    </row>
    <row r="316">
      <c r="A316" s="20" t="n"/>
      <c r="B316" s="20" t="n"/>
      <c r="C316" s="20" t="n"/>
      <c r="D316" s="16" t="n"/>
      <c r="E316" s="16" t="n"/>
      <c r="F316" s="21" t="n"/>
      <c r="G316" s="21" t="n"/>
      <c r="H316" s="15">
        <f>IF(F316="","",F316-N(G316))</f>
        <v/>
      </c>
      <c r="I316">
        <f>IF(OR(F316="",E316=""),"",MAX(0,Parametros!$B$1-E316))</f>
        <v/>
      </c>
      <c r="J316">
        <f>IF(OR(H316="",I316=""),"",IF(H316&lt;=0,"Pagada",IF(I316=0,"No vencida",IF(I316&lt;=30,"1-30",IF(I316&lt;=60,"31-60",IF(I316&lt;=90,"61-90",IF(I316&lt;=180,"91-180",IF(I316&lt;=360,"181-360","Más de 360"))))))))</f>
        <v/>
      </c>
      <c r="K316" s="14">
        <f>IF(OR(J316="",J316="Pagada"),"",VLOOKUP(J316,Parametros!$A$4:$B$10,2,FALSE))</f>
        <v/>
      </c>
      <c r="L316" s="15">
        <f>IF(K316="","",H316*K316)</f>
        <v/>
      </c>
    </row>
    <row r="317">
      <c r="A317" s="20" t="n"/>
      <c r="B317" s="20" t="n"/>
      <c r="C317" s="20" t="n"/>
      <c r="D317" s="16" t="n"/>
      <c r="E317" s="16" t="n"/>
      <c r="F317" s="21" t="n"/>
      <c r="G317" s="21" t="n"/>
      <c r="H317" s="15">
        <f>IF(F317="","",F317-N(G317))</f>
        <v/>
      </c>
      <c r="I317">
        <f>IF(OR(F317="",E317=""),"",MAX(0,Parametros!$B$1-E317))</f>
        <v/>
      </c>
      <c r="J317">
        <f>IF(OR(H317="",I317=""),"",IF(H317&lt;=0,"Pagada",IF(I317=0,"No vencida",IF(I317&lt;=30,"1-30",IF(I317&lt;=60,"31-60",IF(I317&lt;=90,"61-90",IF(I317&lt;=180,"91-180",IF(I317&lt;=360,"181-360","Más de 360"))))))))</f>
        <v/>
      </c>
      <c r="K317" s="14">
        <f>IF(OR(J317="",J317="Pagada"),"",VLOOKUP(J317,Parametros!$A$4:$B$10,2,FALSE))</f>
        <v/>
      </c>
      <c r="L317" s="15">
        <f>IF(K317="","",H317*K317)</f>
        <v/>
      </c>
    </row>
    <row r="318">
      <c r="A318" s="20" t="n"/>
      <c r="B318" s="20" t="n"/>
      <c r="C318" s="20" t="n"/>
      <c r="D318" s="16" t="n"/>
      <c r="E318" s="16" t="n"/>
      <c r="F318" s="21" t="n"/>
      <c r="G318" s="21" t="n"/>
      <c r="H318" s="15">
        <f>IF(F318="","",F318-N(G318))</f>
        <v/>
      </c>
      <c r="I318">
        <f>IF(OR(F318="",E318=""),"",MAX(0,Parametros!$B$1-E318))</f>
        <v/>
      </c>
      <c r="J318">
        <f>IF(OR(H318="",I318=""),"",IF(H318&lt;=0,"Pagada",IF(I318=0,"No vencida",IF(I318&lt;=30,"1-30",IF(I318&lt;=60,"31-60",IF(I318&lt;=90,"61-90",IF(I318&lt;=180,"91-180",IF(I318&lt;=360,"181-360","Más de 360"))))))))</f>
        <v/>
      </c>
      <c r="K318" s="14">
        <f>IF(OR(J318="",J318="Pagada"),"",VLOOKUP(J318,Parametros!$A$4:$B$10,2,FALSE))</f>
        <v/>
      </c>
      <c r="L318" s="15">
        <f>IF(K318="","",H318*K318)</f>
        <v/>
      </c>
    </row>
    <row r="319">
      <c r="A319" s="20" t="n"/>
      <c r="B319" s="20" t="n"/>
      <c r="C319" s="20" t="n"/>
      <c r="D319" s="16" t="n"/>
      <c r="E319" s="16" t="n"/>
      <c r="F319" s="21" t="n"/>
      <c r="G319" s="21" t="n"/>
      <c r="H319" s="15">
        <f>IF(F319="","",F319-N(G319))</f>
        <v/>
      </c>
      <c r="I319">
        <f>IF(OR(F319="",E319=""),"",MAX(0,Parametros!$B$1-E319))</f>
        <v/>
      </c>
      <c r="J319">
        <f>IF(OR(H319="",I319=""),"",IF(H319&lt;=0,"Pagada",IF(I319=0,"No vencida",IF(I319&lt;=30,"1-30",IF(I319&lt;=60,"31-60",IF(I319&lt;=90,"61-90",IF(I319&lt;=180,"91-180",IF(I319&lt;=360,"181-360","Más de 360"))))))))</f>
        <v/>
      </c>
      <c r="K319" s="14">
        <f>IF(OR(J319="",J319="Pagada"),"",VLOOKUP(J319,Parametros!$A$4:$B$10,2,FALSE))</f>
        <v/>
      </c>
      <c r="L319" s="15">
        <f>IF(K319="","",H319*K319)</f>
        <v/>
      </c>
    </row>
    <row r="320">
      <c r="A320" s="20" t="n"/>
      <c r="B320" s="20" t="n"/>
      <c r="C320" s="20" t="n"/>
      <c r="D320" s="16" t="n"/>
      <c r="E320" s="16" t="n"/>
      <c r="F320" s="21" t="n"/>
      <c r="G320" s="21" t="n"/>
      <c r="H320" s="15">
        <f>IF(F320="","",F320-N(G320))</f>
        <v/>
      </c>
      <c r="I320">
        <f>IF(OR(F320="",E320=""),"",MAX(0,Parametros!$B$1-E320))</f>
        <v/>
      </c>
      <c r="J320">
        <f>IF(OR(H320="",I320=""),"",IF(H320&lt;=0,"Pagada",IF(I320=0,"No vencida",IF(I320&lt;=30,"1-30",IF(I320&lt;=60,"31-60",IF(I320&lt;=90,"61-90",IF(I320&lt;=180,"91-180",IF(I320&lt;=360,"181-360","Más de 360"))))))))</f>
        <v/>
      </c>
      <c r="K320" s="14">
        <f>IF(OR(J320="",J320="Pagada"),"",VLOOKUP(J320,Parametros!$A$4:$B$10,2,FALSE))</f>
        <v/>
      </c>
      <c r="L320" s="15">
        <f>IF(K320="","",H320*K320)</f>
        <v/>
      </c>
    </row>
    <row r="321">
      <c r="A321" s="20" t="n"/>
      <c r="B321" s="20" t="n"/>
      <c r="C321" s="20" t="n"/>
      <c r="D321" s="16" t="n"/>
      <c r="E321" s="16" t="n"/>
      <c r="F321" s="21" t="n"/>
      <c r="G321" s="21" t="n"/>
      <c r="H321" s="15">
        <f>IF(F321="","",F321-N(G321))</f>
        <v/>
      </c>
      <c r="I321">
        <f>IF(OR(F321="",E321=""),"",MAX(0,Parametros!$B$1-E321))</f>
        <v/>
      </c>
      <c r="J321">
        <f>IF(OR(H321="",I321=""),"",IF(H321&lt;=0,"Pagada",IF(I321=0,"No vencida",IF(I321&lt;=30,"1-30",IF(I321&lt;=60,"31-60",IF(I321&lt;=90,"61-90",IF(I321&lt;=180,"91-180",IF(I321&lt;=360,"181-360","Más de 360"))))))))</f>
        <v/>
      </c>
      <c r="K321" s="14">
        <f>IF(OR(J321="",J321="Pagada"),"",VLOOKUP(J321,Parametros!$A$4:$B$10,2,FALSE))</f>
        <v/>
      </c>
      <c r="L321" s="15">
        <f>IF(K321="","",H321*K321)</f>
        <v/>
      </c>
    </row>
    <row r="322">
      <c r="A322" s="20" t="n"/>
      <c r="B322" s="20" t="n"/>
      <c r="C322" s="20" t="n"/>
      <c r="D322" s="16" t="n"/>
      <c r="E322" s="16" t="n"/>
      <c r="F322" s="21" t="n"/>
      <c r="G322" s="21" t="n"/>
      <c r="H322" s="15">
        <f>IF(F322="","",F322-N(G322))</f>
        <v/>
      </c>
      <c r="I322">
        <f>IF(OR(F322="",E322=""),"",MAX(0,Parametros!$B$1-E322))</f>
        <v/>
      </c>
      <c r="J322">
        <f>IF(OR(H322="",I322=""),"",IF(H322&lt;=0,"Pagada",IF(I322=0,"No vencida",IF(I322&lt;=30,"1-30",IF(I322&lt;=60,"31-60",IF(I322&lt;=90,"61-90",IF(I322&lt;=180,"91-180",IF(I322&lt;=360,"181-360","Más de 360"))))))))</f>
        <v/>
      </c>
      <c r="K322" s="14">
        <f>IF(OR(J322="",J322="Pagada"),"",VLOOKUP(J322,Parametros!$A$4:$B$10,2,FALSE))</f>
        <v/>
      </c>
      <c r="L322" s="15">
        <f>IF(K322="","",H322*K322)</f>
        <v/>
      </c>
    </row>
    <row r="323">
      <c r="A323" s="20" t="n"/>
      <c r="B323" s="20" t="n"/>
      <c r="C323" s="20" t="n"/>
      <c r="D323" s="16" t="n"/>
      <c r="E323" s="16" t="n"/>
      <c r="F323" s="21" t="n"/>
      <c r="G323" s="21" t="n"/>
      <c r="H323" s="15">
        <f>IF(F323="","",F323-N(G323))</f>
        <v/>
      </c>
      <c r="I323">
        <f>IF(OR(F323="",E323=""),"",MAX(0,Parametros!$B$1-E323))</f>
        <v/>
      </c>
      <c r="J323">
        <f>IF(OR(H323="",I323=""),"",IF(H323&lt;=0,"Pagada",IF(I323=0,"No vencida",IF(I323&lt;=30,"1-30",IF(I323&lt;=60,"31-60",IF(I323&lt;=90,"61-90",IF(I323&lt;=180,"91-180",IF(I323&lt;=360,"181-360","Más de 360"))))))))</f>
        <v/>
      </c>
      <c r="K323" s="14">
        <f>IF(OR(J323="",J323="Pagada"),"",VLOOKUP(J323,Parametros!$A$4:$B$10,2,FALSE))</f>
        <v/>
      </c>
      <c r="L323" s="15">
        <f>IF(K323="","",H323*K323)</f>
        <v/>
      </c>
    </row>
    <row r="324">
      <c r="A324" s="20" t="n"/>
      <c r="B324" s="20" t="n"/>
      <c r="C324" s="20" t="n"/>
      <c r="D324" s="16" t="n"/>
      <c r="E324" s="16" t="n"/>
      <c r="F324" s="21" t="n"/>
      <c r="G324" s="21" t="n"/>
      <c r="H324" s="15">
        <f>IF(F324="","",F324-N(G324))</f>
        <v/>
      </c>
      <c r="I324">
        <f>IF(OR(F324="",E324=""),"",MAX(0,Parametros!$B$1-E324))</f>
        <v/>
      </c>
      <c r="J324">
        <f>IF(OR(H324="",I324=""),"",IF(H324&lt;=0,"Pagada",IF(I324=0,"No vencida",IF(I324&lt;=30,"1-30",IF(I324&lt;=60,"31-60",IF(I324&lt;=90,"61-90",IF(I324&lt;=180,"91-180",IF(I324&lt;=360,"181-360","Más de 360"))))))))</f>
        <v/>
      </c>
      <c r="K324" s="14">
        <f>IF(OR(J324="",J324="Pagada"),"",VLOOKUP(J324,Parametros!$A$4:$B$10,2,FALSE))</f>
        <v/>
      </c>
      <c r="L324" s="15">
        <f>IF(K324="","",H324*K324)</f>
        <v/>
      </c>
    </row>
    <row r="325">
      <c r="A325" s="20" t="n"/>
      <c r="B325" s="20" t="n"/>
      <c r="C325" s="20" t="n"/>
      <c r="D325" s="16" t="n"/>
      <c r="E325" s="16" t="n"/>
      <c r="F325" s="21" t="n"/>
      <c r="G325" s="21" t="n"/>
      <c r="H325" s="15">
        <f>IF(F325="","",F325-N(G325))</f>
        <v/>
      </c>
      <c r="I325">
        <f>IF(OR(F325="",E325=""),"",MAX(0,Parametros!$B$1-E325))</f>
        <v/>
      </c>
      <c r="J325">
        <f>IF(OR(H325="",I325=""),"",IF(H325&lt;=0,"Pagada",IF(I325=0,"No vencida",IF(I325&lt;=30,"1-30",IF(I325&lt;=60,"31-60",IF(I325&lt;=90,"61-90",IF(I325&lt;=180,"91-180",IF(I325&lt;=360,"181-360","Más de 360"))))))))</f>
        <v/>
      </c>
      <c r="K325" s="14">
        <f>IF(OR(J325="",J325="Pagada"),"",VLOOKUP(J325,Parametros!$A$4:$B$10,2,FALSE))</f>
        <v/>
      </c>
      <c r="L325" s="15">
        <f>IF(K325="","",H325*K325)</f>
        <v/>
      </c>
    </row>
    <row r="326">
      <c r="A326" s="20" t="n"/>
      <c r="B326" s="20" t="n"/>
      <c r="C326" s="20" t="n"/>
      <c r="D326" s="16" t="n"/>
      <c r="E326" s="16" t="n"/>
      <c r="F326" s="21" t="n"/>
      <c r="G326" s="21" t="n"/>
      <c r="H326" s="15">
        <f>IF(F326="","",F326-N(G326))</f>
        <v/>
      </c>
      <c r="I326">
        <f>IF(OR(F326="",E326=""),"",MAX(0,Parametros!$B$1-E326))</f>
        <v/>
      </c>
      <c r="J326">
        <f>IF(OR(H326="",I326=""),"",IF(H326&lt;=0,"Pagada",IF(I326=0,"No vencida",IF(I326&lt;=30,"1-30",IF(I326&lt;=60,"31-60",IF(I326&lt;=90,"61-90",IF(I326&lt;=180,"91-180",IF(I326&lt;=360,"181-360","Más de 360"))))))))</f>
        <v/>
      </c>
      <c r="K326" s="14">
        <f>IF(OR(J326="",J326="Pagada"),"",VLOOKUP(J326,Parametros!$A$4:$B$10,2,FALSE))</f>
        <v/>
      </c>
      <c r="L326" s="15">
        <f>IF(K326="","",H326*K326)</f>
        <v/>
      </c>
    </row>
    <row r="327">
      <c r="A327" s="20" t="n"/>
      <c r="B327" s="20" t="n"/>
      <c r="C327" s="20" t="n"/>
      <c r="D327" s="16" t="n"/>
      <c r="E327" s="16" t="n"/>
      <c r="F327" s="21" t="n"/>
      <c r="G327" s="21" t="n"/>
      <c r="H327" s="15">
        <f>IF(F327="","",F327-N(G327))</f>
        <v/>
      </c>
      <c r="I327">
        <f>IF(OR(F327="",E327=""),"",MAX(0,Parametros!$B$1-E327))</f>
        <v/>
      </c>
      <c r="J327">
        <f>IF(OR(H327="",I327=""),"",IF(H327&lt;=0,"Pagada",IF(I327=0,"No vencida",IF(I327&lt;=30,"1-30",IF(I327&lt;=60,"31-60",IF(I327&lt;=90,"61-90",IF(I327&lt;=180,"91-180",IF(I327&lt;=360,"181-360","Más de 360"))))))))</f>
        <v/>
      </c>
      <c r="K327" s="14">
        <f>IF(OR(J327="",J327="Pagada"),"",VLOOKUP(J327,Parametros!$A$4:$B$10,2,FALSE))</f>
        <v/>
      </c>
      <c r="L327" s="15">
        <f>IF(K327="","",H327*K327)</f>
        <v/>
      </c>
    </row>
    <row r="328">
      <c r="A328" s="20" t="n"/>
      <c r="B328" s="20" t="n"/>
      <c r="C328" s="20" t="n"/>
      <c r="D328" s="16" t="n"/>
      <c r="E328" s="16" t="n"/>
      <c r="F328" s="21" t="n"/>
      <c r="G328" s="21" t="n"/>
      <c r="H328" s="15">
        <f>IF(F328="","",F328-N(G328))</f>
        <v/>
      </c>
      <c r="I328">
        <f>IF(OR(F328="",E328=""),"",MAX(0,Parametros!$B$1-E328))</f>
        <v/>
      </c>
      <c r="J328">
        <f>IF(OR(H328="",I328=""),"",IF(H328&lt;=0,"Pagada",IF(I328=0,"No vencida",IF(I328&lt;=30,"1-30",IF(I328&lt;=60,"31-60",IF(I328&lt;=90,"61-90",IF(I328&lt;=180,"91-180",IF(I328&lt;=360,"181-360","Más de 360"))))))))</f>
        <v/>
      </c>
      <c r="K328" s="14">
        <f>IF(OR(J328="",J328="Pagada"),"",VLOOKUP(J328,Parametros!$A$4:$B$10,2,FALSE))</f>
        <v/>
      </c>
      <c r="L328" s="15">
        <f>IF(K328="","",H328*K328)</f>
        <v/>
      </c>
    </row>
    <row r="329">
      <c r="A329" s="20" t="n"/>
      <c r="B329" s="20" t="n"/>
      <c r="C329" s="20" t="n"/>
      <c r="D329" s="16" t="n"/>
      <c r="E329" s="16" t="n"/>
      <c r="F329" s="21" t="n"/>
      <c r="G329" s="21" t="n"/>
      <c r="H329" s="15">
        <f>IF(F329="","",F329-N(G329))</f>
        <v/>
      </c>
      <c r="I329">
        <f>IF(OR(F329="",E329=""),"",MAX(0,Parametros!$B$1-E329))</f>
        <v/>
      </c>
      <c r="J329">
        <f>IF(OR(H329="",I329=""),"",IF(H329&lt;=0,"Pagada",IF(I329=0,"No vencida",IF(I329&lt;=30,"1-30",IF(I329&lt;=60,"31-60",IF(I329&lt;=90,"61-90",IF(I329&lt;=180,"91-180",IF(I329&lt;=360,"181-360","Más de 360"))))))))</f>
        <v/>
      </c>
      <c r="K329" s="14">
        <f>IF(OR(J329="",J329="Pagada"),"",VLOOKUP(J329,Parametros!$A$4:$B$10,2,FALSE))</f>
        <v/>
      </c>
      <c r="L329" s="15">
        <f>IF(K329="","",H329*K329)</f>
        <v/>
      </c>
    </row>
    <row r="330">
      <c r="A330" s="20" t="n"/>
      <c r="B330" s="20" t="n"/>
      <c r="C330" s="20" t="n"/>
      <c r="D330" s="16" t="n"/>
      <c r="E330" s="16" t="n"/>
      <c r="F330" s="21" t="n"/>
      <c r="G330" s="21" t="n"/>
      <c r="H330" s="15">
        <f>IF(F330="","",F330-N(G330))</f>
        <v/>
      </c>
      <c r="I330">
        <f>IF(OR(F330="",E330=""),"",MAX(0,Parametros!$B$1-E330))</f>
        <v/>
      </c>
      <c r="J330">
        <f>IF(OR(H330="",I330=""),"",IF(H330&lt;=0,"Pagada",IF(I330=0,"No vencida",IF(I330&lt;=30,"1-30",IF(I330&lt;=60,"31-60",IF(I330&lt;=90,"61-90",IF(I330&lt;=180,"91-180",IF(I330&lt;=360,"181-360","Más de 360"))))))))</f>
        <v/>
      </c>
      <c r="K330" s="14">
        <f>IF(OR(J330="",J330="Pagada"),"",VLOOKUP(J330,Parametros!$A$4:$B$10,2,FALSE))</f>
        <v/>
      </c>
      <c r="L330" s="15">
        <f>IF(K330="","",H330*K330)</f>
        <v/>
      </c>
    </row>
    <row r="331">
      <c r="A331" s="20" t="n"/>
      <c r="B331" s="20" t="n"/>
      <c r="C331" s="20" t="n"/>
      <c r="D331" s="16" t="n"/>
      <c r="E331" s="16" t="n"/>
      <c r="F331" s="21" t="n"/>
      <c r="G331" s="21" t="n"/>
      <c r="H331" s="15">
        <f>IF(F331="","",F331-N(G331))</f>
        <v/>
      </c>
      <c r="I331">
        <f>IF(OR(F331="",E331=""),"",MAX(0,Parametros!$B$1-E331))</f>
        <v/>
      </c>
      <c r="J331">
        <f>IF(OR(H331="",I331=""),"",IF(H331&lt;=0,"Pagada",IF(I331=0,"No vencida",IF(I331&lt;=30,"1-30",IF(I331&lt;=60,"31-60",IF(I331&lt;=90,"61-90",IF(I331&lt;=180,"91-180",IF(I331&lt;=360,"181-360","Más de 360"))))))))</f>
        <v/>
      </c>
      <c r="K331" s="14">
        <f>IF(OR(J331="",J331="Pagada"),"",VLOOKUP(J331,Parametros!$A$4:$B$10,2,FALSE))</f>
        <v/>
      </c>
      <c r="L331" s="15">
        <f>IF(K331="","",H331*K331)</f>
        <v/>
      </c>
    </row>
    <row r="332">
      <c r="A332" s="20" t="n"/>
      <c r="B332" s="20" t="n"/>
      <c r="C332" s="20" t="n"/>
      <c r="D332" s="16" t="n"/>
      <c r="E332" s="16" t="n"/>
      <c r="F332" s="21" t="n"/>
      <c r="G332" s="21" t="n"/>
      <c r="H332" s="15">
        <f>IF(F332="","",F332-N(G332))</f>
        <v/>
      </c>
      <c r="I332">
        <f>IF(OR(F332="",E332=""),"",MAX(0,Parametros!$B$1-E332))</f>
        <v/>
      </c>
      <c r="J332">
        <f>IF(OR(H332="",I332=""),"",IF(H332&lt;=0,"Pagada",IF(I332=0,"No vencida",IF(I332&lt;=30,"1-30",IF(I332&lt;=60,"31-60",IF(I332&lt;=90,"61-90",IF(I332&lt;=180,"91-180",IF(I332&lt;=360,"181-360","Más de 360"))))))))</f>
        <v/>
      </c>
      <c r="K332" s="14">
        <f>IF(OR(J332="",J332="Pagada"),"",VLOOKUP(J332,Parametros!$A$4:$B$10,2,FALSE))</f>
        <v/>
      </c>
      <c r="L332" s="15">
        <f>IF(K332="","",H332*K332)</f>
        <v/>
      </c>
    </row>
    <row r="333">
      <c r="A333" s="20" t="n"/>
      <c r="B333" s="20" t="n"/>
      <c r="C333" s="20" t="n"/>
      <c r="D333" s="16" t="n"/>
      <c r="E333" s="16" t="n"/>
      <c r="F333" s="21" t="n"/>
      <c r="G333" s="21" t="n"/>
      <c r="H333" s="15">
        <f>IF(F333="","",F333-N(G333))</f>
        <v/>
      </c>
      <c r="I333">
        <f>IF(OR(F333="",E333=""),"",MAX(0,Parametros!$B$1-E333))</f>
        <v/>
      </c>
      <c r="J333">
        <f>IF(OR(H333="",I333=""),"",IF(H333&lt;=0,"Pagada",IF(I333=0,"No vencida",IF(I333&lt;=30,"1-30",IF(I333&lt;=60,"31-60",IF(I333&lt;=90,"61-90",IF(I333&lt;=180,"91-180",IF(I333&lt;=360,"181-360","Más de 360"))))))))</f>
        <v/>
      </c>
      <c r="K333" s="14">
        <f>IF(OR(J333="",J333="Pagada"),"",VLOOKUP(J333,Parametros!$A$4:$B$10,2,FALSE))</f>
        <v/>
      </c>
      <c r="L333" s="15">
        <f>IF(K333="","",H333*K333)</f>
        <v/>
      </c>
    </row>
    <row r="334">
      <c r="A334" s="20" t="n"/>
      <c r="B334" s="20" t="n"/>
      <c r="C334" s="20" t="n"/>
      <c r="D334" s="16" t="n"/>
      <c r="E334" s="16" t="n"/>
      <c r="F334" s="21" t="n"/>
      <c r="G334" s="21" t="n"/>
      <c r="H334" s="15">
        <f>IF(F334="","",F334-N(G334))</f>
        <v/>
      </c>
      <c r="I334">
        <f>IF(OR(F334="",E334=""),"",MAX(0,Parametros!$B$1-E334))</f>
        <v/>
      </c>
      <c r="J334">
        <f>IF(OR(H334="",I334=""),"",IF(H334&lt;=0,"Pagada",IF(I334=0,"No vencida",IF(I334&lt;=30,"1-30",IF(I334&lt;=60,"31-60",IF(I334&lt;=90,"61-90",IF(I334&lt;=180,"91-180",IF(I334&lt;=360,"181-360","Más de 360"))))))))</f>
        <v/>
      </c>
      <c r="K334" s="14">
        <f>IF(OR(J334="",J334="Pagada"),"",VLOOKUP(J334,Parametros!$A$4:$B$10,2,FALSE))</f>
        <v/>
      </c>
      <c r="L334" s="15">
        <f>IF(K334="","",H334*K334)</f>
        <v/>
      </c>
    </row>
    <row r="335">
      <c r="A335" s="20" t="n"/>
      <c r="B335" s="20" t="n"/>
      <c r="C335" s="20" t="n"/>
      <c r="D335" s="16" t="n"/>
      <c r="E335" s="16" t="n"/>
      <c r="F335" s="21" t="n"/>
      <c r="G335" s="21" t="n"/>
      <c r="H335" s="15">
        <f>IF(F335="","",F335-N(G335))</f>
        <v/>
      </c>
      <c r="I335">
        <f>IF(OR(F335="",E335=""),"",MAX(0,Parametros!$B$1-E335))</f>
        <v/>
      </c>
      <c r="J335">
        <f>IF(OR(H335="",I335=""),"",IF(H335&lt;=0,"Pagada",IF(I335=0,"No vencida",IF(I335&lt;=30,"1-30",IF(I335&lt;=60,"31-60",IF(I335&lt;=90,"61-90",IF(I335&lt;=180,"91-180",IF(I335&lt;=360,"181-360","Más de 360"))))))))</f>
        <v/>
      </c>
      <c r="K335" s="14">
        <f>IF(OR(J335="",J335="Pagada"),"",VLOOKUP(J335,Parametros!$A$4:$B$10,2,FALSE))</f>
        <v/>
      </c>
      <c r="L335" s="15">
        <f>IF(K335="","",H335*K335)</f>
        <v/>
      </c>
    </row>
    <row r="336">
      <c r="A336" s="20" t="n"/>
      <c r="B336" s="20" t="n"/>
      <c r="C336" s="20" t="n"/>
      <c r="D336" s="16" t="n"/>
      <c r="E336" s="16" t="n"/>
      <c r="F336" s="21" t="n"/>
      <c r="G336" s="21" t="n"/>
      <c r="H336" s="15">
        <f>IF(F336="","",F336-N(G336))</f>
        <v/>
      </c>
      <c r="I336">
        <f>IF(OR(F336="",E336=""),"",MAX(0,Parametros!$B$1-E336))</f>
        <v/>
      </c>
      <c r="J336">
        <f>IF(OR(H336="",I336=""),"",IF(H336&lt;=0,"Pagada",IF(I336=0,"No vencida",IF(I336&lt;=30,"1-30",IF(I336&lt;=60,"31-60",IF(I336&lt;=90,"61-90",IF(I336&lt;=180,"91-180",IF(I336&lt;=360,"181-360","Más de 360"))))))))</f>
        <v/>
      </c>
      <c r="K336" s="14">
        <f>IF(OR(J336="",J336="Pagada"),"",VLOOKUP(J336,Parametros!$A$4:$B$10,2,FALSE))</f>
        <v/>
      </c>
      <c r="L336" s="15">
        <f>IF(K336="","",H336*K336)</f>
        <v/>
      </c>
    </row>
    <row r="337">
      <c r="A337" s="20" t="n"/>
      <c r="B337" s="20" t="n"/>
      <c r="C337" s="20" t="n"/>
      <c r="D337" s="16" t="n"/>
      <c r="E337" s="16" t="n"/>
      <c r="F337" s="21" t="n"/>
      <c r="G337" s="21" t="n"/>
      <c r="H337" s="15">
        <f>IF(F337="","",F337-N(G337))</f>
        <v/>
      </c>
      <c r="I337">
        <f>IF(OR(F337="",E337=""),"",MAX(0,Parametros!$B$1-E337))</f>
        <v/>
      </c>
      <c r="J337">
        <f>IF(OR(H337="",I337=""),"",IF(H337&lt;=0,"Pagada",IF(I337=0,"No vencida",IF(I337&lt;=30,"1-30",IF(I337&lt;=60,"31-60",IF(I337&lt;=90,"61-90",IF(I337&lt;=180,"91-180",IF(I337&lt;=360,"181-360","Más de 360"))))))))</f>
        <v/>
      </c>
      <c r="K337" s="14">
        <f>IF(OR(J337="",J337="Pagada"),"",VLOOKUP(J337,Parametros!$A$4:$B$10,2,FALSE))</f>
        <v/>
      </c>
      <c r="L337" s="15">
        <f>IF(K337="","",H337*K337)</f>
        <v/>
      </c>
    </row>
    <row r="338">
      <c r="A338" s="20" t="n"/>
      <c r="B338" s="20" t="n"/>
      <c r="C338" s="20" t="n"/>
      <c r="D338" s="16" t="n"/>
      <c r="E338" s="16" t="n"/>
      <c r="F338" s="21" t="n"/>
      <c r="G338" s="21" t="n"/>
      <c r="H338" s="15">
        <f>IF(F338="","",F338-N(G338))</f>
        <v/>
      </c>
      <c r="I338">
        <f>IF(OR(F338="",E338=""),"",MAX(0,Parametros!$B$1-E338))</f>
        <v/>
      </c>
      <c r="J338">
        <f>IF(OR(H338="",I338=""),"",IF(H338&lt;=0,"Pagada",IF(I338=0,"No vencida",IF(I338&lt;=30,"1-30",IF(I338&lt;=60,"31-60",IF(I338&lt;=90,"61-90",IF(I338&lt;=180,"91-180",IF(I338&lt;=360,"181-360","Más de 360"))))))))</f>
        <v/>
      </c>
      <c r="K338" s="14">
        <f>IF(OR(J338="",J338="Pagada"),"",VLOOKUP(J338,Parametros!$A$4:$B$10,2,FALSE))</f>
        <v/>
      </c>
      <c r="L338" s="15">
        <f>IF(K338="","",H338*K338)</f>
        <v/>
      </c>
    </row>
    <row r="339">
      <c r="A339" s="20" t="n"/>
      <c r="B339" s="20" t="n"/>
      <c r="C339" s="20" t="n"/>
      <c r="D339" s="16" t="n"/>
      <c r="E339" s="16" t="n"/>
      <c r="F339" s="21" t="n"/>
      <c r="G339" s="21" t="n"/>
      <c r="H339" s="15">
        <f>IF(F339="","",F339-N(G339))</f>
        <v/>
      </c>
      <c r="I339">
        <f>IF(OR(F339="",E339=""),"",MAX(0,Parametros!$B$1-E339))</f>
        <v/>
      </c>
      <c r="J339">
        <f>IF(OR(H339="",I339=""),"",IF(H339&lt;=0,"Pagada",IF(I339=0,"No vencida",IF(I339&lt;=30,"1-30",IF(I339&lt;=60,"31-60",IF(I339&lt;=90,"61-90",IF(I339&lt;=180,"91-180",IF(I339&lt;=360,"181-360","Más de 360"))))))))</f>
        <v/>
      </c>
      <c r="K339" s="14">
        <f>IF(OR(J339="",J339="Pagada"),"",VLOOKUP(J339,Parametros!$A$4:$B$10,2,FALSE))</f>
        <v/>
      </c>
      <c r="L339" s="15">
        <f>IF(K339="","",H339*K339)</f>
        <v/>
      </c>
    </row>
    <row r="340">
      <c r="A340" s="20" t="n"/>
      <c r="B340" s="20" t="n"/>
      <c r="C340" s="20" t="n"/>
      <c r="D340" s="16" t="n"/>
      <c r="E340" s="16" t="n"/>
      <c r="F340" s="21" t="n"/>
      <c r="G340" s="21" t="n"/>
      <c r="H340" s="15">
        <f>IF(F340="","",F340-N(G340))</f>
        <v/>
      </c>
      <c r="I340">
        <f>IF(OR(F340="",E340=""),"",MAX(0,Parametros!$B$1-E340))</f>
        <v/>
      </c>
      <c r="J340">
        <f>IF(OR(H340="",I340=""),"",IF(H340&lt;=0,"Pagada",IF(I340=0,"No vencida",IF(I340&lt;=30,"1-30",IF(I340&lt;=60,"31-60",IF(I340&lt;=90,"61-90",IF(I340&lt;=180,"91-180",IF(I340&lt;=360,"181-360","Más de 360"))))))))</f>
        <v/>
      </c>
      <c r="K340" s="14">
        <f>IF(OR(J340="",J340="Pagada"),"",VLOOKUP(J340,Parametros!$A$4:$B$10,2,FALSE))</f>
        <v/>
      </c>
      <c r="L340" s="15">
        <f>IF(K340="","",H340*K340)</f>
        <v/>
      </c>
    </row>
    <row r="341">
      <c r="A341" s="20" t="n"/>
      <c r="B341" s="20" t="n"/>
      <c r="C341" s="20" t="n"/>
      <c r="D341" s="16" t="n"/>
      <c r="E341" s="16" t="n"/>
      <c r="F341" s="21" t="n"/>
      <c r="G341" s="21" t="n"/>
      <c r="H341" s="15">
        <f>IF(F341="","",F341-N(G341))</f>
        <v/>
      </c>
      <c r="I341">
        <f>IF(OR(F341="",E341=""),"",MAX(0,Parametros!$B$1-E341))</f>
        <v/>
      </c>
      <c r="J341">
        <f>IF(OR(H341="",I341=""),"",IF(H341&lt;=0,"Pagada",IF(I341=0,"No vencida",IF(I341&lt;=30,"1-30",IF(I341&lt;=60,"31-60",IF(I341&lt;=90,"61-90",IF(I341&lt;=180,"91-180",IF(I341&lt;=360,"181-360","Más de 360"))))))))</f>
        <v/>
      </c>
      <c r="K341" s="14">
        <f>IF(OR(J341="",J341="Pagada"),"",VLOOKUP(J341,Parametros!$A$4:$B$10,2,FALSE))</f>
        <v/>
      </c>
      <c r="L341" s="15">
        <f>IF(K341="","",H341*K341)</f>
        <v/>
      </c>
    </row>
    <row r="342">
      <c r="A342" s="20" t="n"/>
      <c r="B342" s="20" t="n"/>
      <c r="C342" s="20" t="n"/>
      <c r="D342" s="16" t="n"/>
      <c r="E342" s="16" t="n"/>
      <c r="F342" s="21" t="n"/>
      <c r="G342" s="21" t="n"/>
      <c r="H342" s="15">
        <f>IF(F342="","",F342-N(G342))</f>
        <v/>
      </c>
      <c r="I342">
        <f>IF(OR(F342="",E342=""),"",MAX(0,Parametros!$B$1-E342))</f>
        <v/>
      </c>
      <c r="J342">
        <f>IF(OR(H342="",I342=""),"",IF(H342&lt;=0,"Pagada",IF(I342=0,"No vencida",IF(I342&lt;=30,"1-30",IF(I342&lt;=60,"31-60",IF(I342&lt;=90,"61-90",IF(I342&lt;=180,"91-180",IF(I342&lt;=360,"181-360","Más de 360"))))))))</f>
        <v/>
      </c>
      <c r="K342" s="14">
        <f>IF(OR(J342="",J342="Pagada"),"",VLOOKUP(J342,Parametros!$A$4:$B$10,2,FALSE))</f>
        <v/>
      </c>
      <c r="L342" s="15">
        <f>IF(K342="","",H342*K342)</f>
        <v/>
      </c>
    </row>
    <row r="343">
      <c r="A343" s="20" t="n"/>
      <c r="B343" s="20" t="n"/>
      <c r="C343" s="20" t="n"/>
      <c r="D343" s="16" t="n"/>
      <c r="E343" s="16" t="n"/>
      <c r="F343" s="21" t="n"/>
      <c r="G343" s="21" t="n"/>
      <c r="H343" s="15">
        <f>IF(F343="","",F343-N(G343))</f>
        <v/>
      </c>
      <c r="I343">
        <f>IF(OR(F343="",E343=""),"",MAX(0,Parametros!$B$1-E343))</f>
        <v/>
      </c>
      <c r="J343">
        <f>IF(OR(H343="",I343=""),"",IF(H343&lt;=0,"Pagada",IF(I343=0,"No vencida",IF(I343&lt;=30,"1-30",IF(I343&lt;=60,"31-60",IF(I343&lt;=90,"61-90",IF(I343&lt;=180,"91-180",IF(I343&lt;=360,"181-360","Más de 360"))))))))</f>
        <v/>
      </c>
      <c r="K343" s="14">
        <f>IF(OR(J343="",J343="Pagada"),"",VLOOKUP(J343,Parametros!$A$4:$B$10,2,FALSE))</f>
        <v/>
      </c>
      <c r="L343" s="15">
        <f>IF(K343="","",H343*K343)</f>
        <v/>
      </c>
    </row>
    <row r="344">
      <c r="A344" s="20" t="n"/>
      <c r="B344" s="20" t="n"/>
      <c r="C344" s="20" t="n"/>
      <c r="D344" s="16" t="n"/>
      <c r="E344" s="16" t="n"/>
      <c r="F344" s="21" t="n"/>
      <c r="G344" s="21" t="n"/>
      <c r="H344" s="15">
        <f>IF(F344="","",F344-N(G344))</f>
        <v/>
      </c>
      <c r="I344">
        <f>IF(OR(F344="",E344=""),"",MAX(0,Parametros!$B$1-E344))</f>
        <v/>
      </c>
      <c r="J344">
        <f>IF(OR(H344="",I344=""),"",IF(H344&lt;=0,"Pagada",IF(I344=0,"No vencida",IF(I344&lt;=30,"1-30",IF(I344&lt;=60,"31-60",IF(I344&lt;=90,"61-90",IF(I344&lt;=180,"91-180",IF(I344&lt;=360,"181-360","Más de 360"))))))))</f>
        <v/>
      </c>
      <c r="K344" s="14">
        <f>IF(OR(J344="",J344="Pagada"),"",VLOOKUP(J344,Parametros!$A$4:$B$10,2,FALSE))</f>
        <v/>
      </c>
      <c r="L344" s="15">
        <f>IF(K344="","",H344*K344)</f>
        <v/>
      </c>
    </row>
    <row r="345">
      <c r="A345" s="20" t="n"/>
      <c r="B345" s="20" t="n"/>
      <c r="C345" s="20" t="n"/>
      <c r="D345" s="16" t="n"/>
      <c r="E345" s="16" t="n"/>
      <c r="F345" s="21" t="n"/>
      <c r="G345" s="21" t="n"/>
      <c r="H345" s="15">
        <f>IF(F345="","",F345-N(G345))</f>
        <v/>
      </c>
      <c r="I345">
        <f>IF(OR(F345="",E345=""),"",MAX(0,Parametros!$B$1-E345))</f>
        <v/>
      </c>
      <c r="J345">
        <f>IF(OR(H345="",I345=""),"",IF(H345&lt;=0,"Pagada",IF(I345=0,"No vencida",IF(I345&lt;=30,"1-30",IF(I345&lt;=60,"31-60",IF(I345&lt;=90,"61-90",IF(I345&lt;=180,"91-180",IF(I345&lt;=360,"181-360","Más de 360"))))))))</f>
        <v/>
      </c>
      <c r="K345" s="14">
        <f>IF(OR(J345="",J345="Pagada"),"",VLOOKUP(J345,Parametros!$A$4:$B$10,2,FALSE))</f>
        <v/>
      </c>
      <c r="L345" s="15">
        <f>IF(K345="","",H345*K345)</f>
        <v/>
      </c>
    </row>
    <row r="346">
      <c r="A346" s="20" t="n"/>
      <c r="B346" s="20" t="n"/>
      <c r="C346" s="20" t="n"/>
      <c r="D346" s="16" t="n"/>
      <c r="E346" s="16" t="n"/>
      <c r="F346" s="21" t="n"/>
      <c r="G346" s="21" t="n"/>
      <c r="H346" s="15">
        <f>IF(F346="","",F346-N(G346))</f>
        <v/>
      </c>
      <c r="I346">
        <f>IF(OR(F346="",E346=""),"",MAX(0,Parametros!$B$1-E346))</f>
        <v/>
      </c>
      <c r="J346">
        <f>IF(OR(H346="",I346=""),"",IF(H346&lt;=0,"Pagada",IF(I346=0,"No vencida",IF(I346&lt;=30,"1-30",IF(I346&lt;=60,"31-60",IF(I346&lt;=90,"61-90",IF(I346&lt;=180,"91-180",IF(I346&lt;=360,"181-360","Más de 360"))))))))</f>
        <v/>
      </c>
      <c r="K346" s="14">
        <f>IF(OR(J346="",J346="Pagada"),"",VLOOKUP(J346,Parametros!$A$4:$B$10,2,FALSE))</f>
        <v/>
      </c>
      <c r="L346" s="15">
        <f>IF(K346="","",H346*K346)</f>
        <v/>
      </c>
    </row>
    <row r="347">
      <c r="A347" s="20" t="n"/>
      <c r="B347" s="20" t="n"/>
      <c r="C347" s="20" t="n"/>
      <c r="D347" s="16" t="n"/>
      <c r="E347" s="16" t="n"/>
      <c r="F347" s="21" t="n"/>
      <c r="G347" s="21" t="n"/>
      <c r="H347" s="15">
        <f>IF(F347="","",F347-N(G347))</f>
        <v/>
      </c>
      <c r="I347">
        <f>IF(OR(F347="",E347=""),"",MAX(0,Parametros!$B$1-E347))</f>
        <v/>
      </c>
      <c r="J347">
        <f>IF(OR(H347="",I347=""),"",IF(H347&lt;=0,"Pagada",IF(I347=0,"No vencida",IF(I347&lt;=30,"1-30",IF(I347&lt;=60,"31-60",IF(I347&lt;=90,"61-90",IF(I347&lt;=180,"91-180",IF(I347&lt;=360,"181-360","Más de 360"))))))))</f>
        <v/>
      </c>
      <c r="K347" s="14">
        <f>IF(OR(J347="",J347="Pagada"),"",VLOOKUP(J347,Parametros!$A$4:$B$10,2,FALSE))</f>
        <v/>
      </c>
      <c r="L347" s="15">
        <f>IF(K347="","",H347*K347)</f>
        <v/>
      </c>
    </row>
    <row r="348">
      <c r="A348" s="20" t="n"/>
      <c r="B348" s="20" t="n"/>
      <c r="C348" s="20" t="n"/>
      <c r="D348" s="16" t="n"/>
      <c r="E348" s="16" t="n"/>
      <c r="F348" s="21" t="n"/>
      <c r="G348" s="21" t="n"/>
      <c r="H348" s="15">
        <f>IF(F348="","",F348-N(G348))</f>
        <v/>
      </c>
      <c r="I348">
        <f>IF(OR(F348="",E348=""),"",MAX(0,Parametros!$B$1-E348))</f>
        <v/>
      </c>
      <c r="J348">
        <f>IF(OR(H348="",I348=""),"",IF(H348&lt;=0,"Pagada",IF(I348=0,"No vencida",IF(I348&lt;=30,"1-30",IF(I348&lt;=60,"31-60",IF(I348&lt;=90,"61-90",IF(I348&lt;=180,"91-180",IF(I348&lt;=360,"181-360","Más de 360"))))))))</f>
        <v/>
      </c>
      <c r="K348" s="14">
        <f>IF(OR(J348="",J348="Pagada"),"",VLOOKUP(J348,Parametros!$A$4:$B$10,2,FALSE))</f>
        <v/>
      </c>
      <c r="L348" s="15">
        <f>IF(K348="","",H348*K348)</f>
        <v/>
      </c>
    </row>
    <row r="349">
      <c r="A349" s="20" t="n"/>
      <c r="B349" s="20" t="n"/>
      <c r="C349" s="20" t="n"/>
      <c r="D349" s="16" t="n"/>
      <c r="E349" s="16" t="n"/>
      <c r="F349" s="21" t="n"/>
      <c r="G349" s="21" t="n"/>
      <c r="H349" s="15">
        <f>IF(F349="","",F349-N(G349))</f>
        <v/>
      </c>
      <c r="I349">
        <f>IF(OR(F349="",E349=""),"",MAX(0,Parametros!$B$1-E349))</f>
        <v/>
      </c>
      <c r="J349">
        <f>IF(OR(H349="",I349=""),"",IF(H349&lt;=0,"Pagada",IF(I349=0,"No vencida",IF(I349&lt;=30,"1-30",IF(I349&lt;=60,"31-60",IF(I349&lt;=90,"61-90",IF(I349&lt;=180,"91-180",IF(I349&lt;=360,"181-360","Más de 360"))))))))</f>
        <v/>
      </c>
      <c r="K349" s="14">
        <f>IF(OR(J349="",J349="Pagada"),"",VLOOKUP(J349,Parametros!$A$4:$B$10,2,FALSE))</f>
        <v/>
      </c>
      <c r="L349" s="15">
        <f>IF(K349="","",H349*K349)</f>
        <v/>
      </c>
    </row>
    <row r="350">
      <c r="A350" s="20" t="n"/>
      <c r="B350" s="20" t="n"/>
      <c r="C350" s="20" t="n"/>
      <c r="D350" s="16" t="n"/>
      <c r="E350" s="16" t="n"/>
      <c r="F350" s="21" t="n"/>
      <c r="G350" s="21" t="n"/>
      <c r="H350" s="15">
        <f>IF(F350="","",F350-N(G350))</f>
        <v/>
      </c>
      <c r="I350">
        <f>IF(OR(F350="",E350=""),"",MAX(0,Parametros!$B$1-E350))</f>
        <v/>
      </c>
      <c r="J350">
        <f>IF(OR(H350="",I350=""),"",IF(H350&lt;=0,"Pagada",IF(I350=0,"No vencida",IF(I350&lt;=30,"1-30",IF(I350&lt;=60,"31-60",IF(I350&lt;=90,"61-90",IF(I350&lt;=180,"91-180",IF(I350&lt;=360,"181-360","Más de 360"))))))))</f>
        <v/>
      </c>
      <c r="K350" s="14">
        <f>IF(OR(J350="",J350="Pagada"),"",VLOOKUP(J350,Parametros!$A$4:$B$10,2,FALSE))</f>
        <v/>
      </c>
      <c r="L350" s="15">
        <f>IF(K350="","",H350*K350)</f>
        <v/>
      </c>
    </row>
    <row r="351">
      <c r="A351" s="20" t="n"/>
      <c r="B351" s="20" t="n"/>
      <c r="C351" s="20" t="n"/>
      <c r="D351" s="16" t="n"/>
      <c r="E351" s="16" t="n"/>
      <c r="F351" s="21" t="n"/>
      <c r="G351" s="21" t="n"/>
      <c r="H351" s="15">
        <f>IF(F351="","",F351-N(G351))</f>
        <v/>
      </c>
      <c r="I351">
        <f>IF(OR(F351="",E351=""),"",MAX(0,Parametros!$B$1-E351))</f>
        <v/>
      </c>
      <c r="J351">
        <f>IF(OR(H351="",I351=""),"",IF(H351&lt;=0,"Pagada",IF(I351=0,"No vencida",IF(I351&lt;=30,"1-30",IF(I351&lt;=60,"31-60",IF(I351&lt;=90,"61-90",IF(I351&lt;=180,"91-180",IF(I351&lt;=360,"181-360","Más de 360"))))))))</f>
        <v/>
      </c>
      <c r="K351" s="14">
        <f>IF(OR(J351="",J351="Pagada"),"",VLOOKUP(J351,Parametros!$A$4:$B$10,2,FALSE))</f>
        <v/>
      </c>
      <c r="L351" s="15">
        <f>IF(K351="","",H351*K351)</f>
        <v/>
      </c>
    </row>
    <row r="352">
      <c r="A352" s="20" t="n"/>
      <c r="B352" s="20" t="n"/>
      <c r="C352" s="20" t="n"/>
      <c r="D352" s="16" t="n"/>
      <c r="E352" s="16" t="n"/>
      <c r="F352" s="21" t="n"/>
      <c r="G352" s="21" t="n"/>
      <c r="H352" s="15">
        <f>IF(F352="","",F352-N(G352))</f>
        <v/>
      </c>
      <c r="I352">
        <f>IF(OR(F352="",E352=""),"",MAX(0,Parametros!$B$1-E352))</f>
        <v/>
      </c>
      <c r="J352">
        <f>IF(OR(H352="",I352=""),"",IF(H352&lt;=0,"Pagada",IF(I352=0,"No vencida",IF(I352&lt;=30,"1-30",IF(I352&lt;=60,"31-60",IF(I352&lt;=90,"61-90",IF(I352&lt;=180,"91-180",IF(I352&lt;=360,"181-360","Más de 360"))))))))</f>
        <v/>
      </c>
      <c r="K352" s="14">
        <f>IF(OR(J352="",J352="Pagada"),"",VLOOKUP(J352,Parametros!$A$4:$B$10,2,FALSE))</f>
        <v/>
      </c>
      <c r="L352" s="15">
        <f>IF(K352="","",H352*K352)</f>
        <v/>
      </c>
    </row>
    <row r="353">
      <c r="A353" s="20" t="n"/>
      <c r="B353" s="20" t="n"/>
      <c r="C353" s="20" t="n"/>
      <c r="D353" s="16" t="n"/>
      <c r="E353" s="16" t="n"/>
      <c r="F353" s="21" t="n"/>
      <c r="G353" s="21" t="n"/>
      <c r="H353" s="15">
        <f>IF(F353="","",F353-N(G353))</f>
        <v/>
      </c>
      <c r="I353">
        <f>IF(OR(F353="",E353=""),"",MAX(0,Parametros!$B$1-E353))</f>
        <v/>
      </c>
      <c r="J353">
        <f>IF(OR(H353="",I353=""),"",IF(H353&lt;=0,"Pagada",IF(I353=0,"No vencida",IF(I353&lt;=30,"1-30",IF(I353&lt;=60,"31-60",IF(I353&lt;=90,"61-90",IF(I353&lt;=180,"91-180",IF(I353&lt;=360,"181-360","Más de 360"))))))))</f>
        <v/>
      </c>
      <c r="K353" s="14">
        <f>IF(OR(J353="",J353="Pagada"),"",VLOOKUP(J353,Parametros!$A$4:$B$10,2,FALSE))</f>
        <v/>
      </c>
      <c r="L353" s="15">
        <f>IF(K353="","",H353*K353)</f>
        <v/>
      </c>
    </row>
    <row r="354">
      <c r="A354" s="20" t="n"/>
      <c r="B354" s="20" t="n"/>
      <c r="C354" s="20" t="n"/>
      <c r="D354" s="16" t="n"/>
      <c r="E354" s="16" t="n"/>
      <c r="F354" s="21" t="n"/>
      <c r="G354" s="21" t="n"/>
      <c r="H354" s="15">
        <f>IF(F354="","",F354-N(G354))</f>
        <v/>
      </c>
      <c r="I354">
        <f>IF(OR(F354="",E354=""),"",MAX(0,Parametros!$B$1-E354))</f>
        <v/>
      </c>
      <c r="J354">
        <f>IF(OR(H354="",I354=""),"",IF(H354&lt;=0,"Pagada",IF(I354=0,"No vencida",IF(I354&lt;=30,"1-30",IF(I354&lt;=60,"31-60",IF(I354&lt;=90,"61-90",IF(I354&lt;=180,"91-180",IF(I354&lt;=360,"181-360","Más de 360"))))))))</f>
        <v/>
      </c>
      <c r="K354" s="14">
        <f>IF(OR(J354="",J354="Pagada"),"",VLOOKUP(J354,Parametros!$A$4:$B$10,2,FALSE))</f>
        <v/>
      </c>
      <c r="L354" s="15">
        <f>IF(K354="","",H354*K354)</f>
        <v/>
      </c>
    </row>
    <row r="355">
      <c r="A355" s="20" t="n"/>
      <c r="B355" s="20" t="n"/>
      <c r="C355" s="20" t="n"/>
      <c r="D355" s="16" t="n"/>
      <c r="E355" s="16" t="n"/>
      <c r="F355" s="21" t="n"/>
      <c r="G355" s="21" t="n"/>
      <c r="H355" s="15">
        <f>IF(F355="","",F355-N(G355))</f>
        <v/>
      </c>
      <c r="I355">
        <f>IF(OR(F355="",E355=""),"",MAX(0,Parametros!$B$1-E355))</f>
        <v/>
      </c>
      <c r="J355">
        <f>IF(OR(H355="",I355=""),"",IF(H355&lt;=0,"Pagada",IF(I355=0,"No vencida",IF(I355&lt;=30,"1-30",IF(I355&lt;=60,"31-60",IF(I355&lt;=90,"61-90",IF(I355&lt;=180,"91-180",IF(I355&lt;=360,"181-360","Más de 360"))))))))</f>
        <v/>
      </c>
      <c r="K355" s="14">
        <f>IF(OR(J355="",J355="Pagada"),"",VLOOKUP(J355,Parametros!$A$4:$B$10,2,FALSE))</f>
        <v/>
      </c>
      <c r="L355" s="15">
        <f>IF(K355="","",H355*K355)</f>
        <v/>
      </c>
    </row>
    <row r="356">
      <c r="A356" s="20" t="n"/>
      <c r="B356" s="20" t="n"/>
      <c r="C356" s="20" t="n"/>
      <c r="D356" s="16" t="n"/>
      <c r="E356" s="16" t="n"/>
      <c r="F356" s="21" t="n"/>
      <c r="G356" s="21" t="n"/>
      <c r="H356" s="15">
        <f>IF(F356="","",F356-N(G356))</f>
        <v/>
      </c>
      <c r="I356">
        <f>IF(OR(F356="",E356=""),"",MAX(0,Parametros!$B$1-E356))</f>
        <v/>
      </c>
      <c r="J356">
        <f>IF(OR(H356="",I356=""),"",IF(H356&lt;=0,"Pagada",IF(I356=0,"No vencida",IF(I356&lt;=30,"1-30",IF(I356&lt;=60,"31-60",IF(I356&lt;=90,"61-90",IF(I356&lt;=180,"91-180",IF(I356&lt;=360,"181-360","Más de 360"))))))))</f>
        <v/>
      </c>
      <c r="K356" s="14">
        <f>IF(OR(J356="",J356="Pagada"),"",VLOOKUP(J356,Parametros!$A$4:$B$10,2,FALSE))</f>
        <v/>
      </c>
      <c r="L356" s="15">
        <f>IF(K356="","",H356*K356)</f>
        <v/>
      </c>
    </row>
    <row r="357">
      <c r="A357" s="20" t="n"/>
      <c r="B357" s="20" t="n"/>
      <c r="C357" s="20" t="n"/>
      <c r="D357" s="16" t="n"/>
      <c r="E357" s="16" t="n"/>
      <c r="F357" s="21" t="n"/>
      <c r="G357" s="21" t="n"/>
      <c r="H357" s="15">
        <f>IF(F357="","",F357-N(G357))</f>
        <v/>
      </c>
      <c r="I357">
        <f>IF(OR(F357="",E357=""),"",MAX(0,Parametros!$B$1-E357))</f>
        <v/>
      </c>
      <c r="J357">
        <f>IF(OR(H357="",I357=""),"",IF(H357&lt;=0,"Pagada",IF(I357=0,"No vencida",IF(I357&lt;=30,"1-30",IF(I357&lt;=60,"31-60",IF(I357&lt;=90,"61-90",IF(I357&lt;=180,"91-180",IF(I357&lt;=360,"181-360","Más de 360"))))))))</f>
        <v/>
      </c>
      <c r="K357" s="14">
        <f>IF(OR(J357="",J357="Pagada"),"",VLOOKUP(J357,Parametros!$A$4:$B$10,2,FALSE))</f>
        <v/>
      </c>
      <c r="L357" s="15">
        <f>IF(K357="","",H357*K357)</f>
        <v/>
      </c>
    </row>
    <row r="358">
      <c r="A358" s="20" t="n"/>
      <c r="B358" s="20" t="n"/>
      <c r="C358" s="20" t="n"/>
      <c r="D358" s="16" t="n"/>
      <c r="E358" s="16" t="n"/>
      <c r="F358" s="21" t="n"/>
      <c r="G358" s="21" t="n"/>
      <c r="H358" s="15">
        <f>IF(F358="","",F358-N(G358))</f>
        <v/>
      </c>
      <c r="I358">
        <f>IF(OR(F358="",E358=""),"",MAX(0,Parametros!$B$1-E358))</f>
        <v/>
      </c>
      <c r="J358">
        <f>IF(OR(H358="",I358=""),"",IF(H358&lt;=0,"Pagada",IF(I358=0,"No vencida",IF(I358&lt;=30,"1-30",IF(I358&lt;=60,"31-60",IF(I358&lt;=90,"61-90",IF(I358&lt;=180,"91-180",IF(I358&lt;=360,"181-360","Más de 360"))))))))</f>
        <v/>
      </c>
      <c r="K358" s="14">
        <f>IF(OR(J358="",J358="Pagada"),"",VLOOKUP(J358,Parametros!$A$4:$B$10,2,FALSE))</f>
        <v/>
      </c>
      <c r="L358" s="15">
        <f>IF(K358="","",H358*K358)</f>
        <v/>
      </c>
    </row>
    <row r="359">
      <c r="A359" s="20" t="n"/>
      <c r="B359" s="20" t="n"/>
      <c r="C359" s="20" t="n"/>
      <c r="D359" s="16" t="n"/>
      <c r="E359" s="16" t="n"/>
      <c r="F359" s="21" t="n"/>
      <c r="G359" s="21" t="n"/>
      <c r="H359" s="15">
        <f>IF(F359="","",F359-N(G359))</f>
        <v/>
      </c>
      <c r="I359">
        <f>IF(OR(F359="",E359=""),"",MAX(0,Parametros!$B$1-E359))</f>
        <v/>
      </c>
      <c r="J359">
        <f>IF(OR(H359="",I359=""),"",IF(H359&lt;=0,"Pagada",IF(I359=0,"No vencida",IF(I359&lt;=30,"1-30",IF(I359&lt;=60,"31-60",IF(I359&lt;=90,"61-90",IF(I359&lt;=180,"91-180",IF(I359&lt;=360,"181-360","Más de 360"))))))))</f>
        <v/>
      </c>
      <c r="K359" s="14">
        <f>IF(OR(J359="",J359="Pagada"),"",VLOOKUP(J359,Parametros!$A$4:$B$10,2,FALSE))</f>
        <v/>
      </c>
      <c r="L359" s="15">
        <f>IF(K359="","",H359*K359)</f>
        <v/>
      </c>
    </row>
    <row r="360">
      <c r="A360" s="20" t="n"/>
      <c r="B360" s="20" t="n"/>
      <c r="C360" s="20" t="n"/>
      <c r="D360" s="16" t="n"/>
      <c r="E360" s="16" t="n"/>
      <c r="F360" s="21" t="n"/>
      <c r="G360" s="21" t="n"/>
      <c r="H360" s="15">
        <f>IF(F360="","",F360-N(G360))</f>
        <v/>
      </c>
      <c r="I360">
        <f>IF(OR(F360="",E360=""),"",MAX(0,Parametros!$B$1-E360))</f>
        <v/>
      </c>
      <c r="J360">
        <f>IF(OR(H360="",I360=""),"",IF(H360&lt;=0,"Pagada",IF(I360=0,"No vencida",IF(I360&lt;=30,"1-30",IF(I360&lt;=60,"31-60",IF(I360&lt;=90,"61-90",IF(I360&lt;=180,"91-180",IF(I360&lt;=360,"181-360","Más de 360"))))))))</f>
        <v/>
      </c>
      <c r="K360" s="14">
        <f>IF(OR(J360="",J360="Pagada"),"",VLOOKUP(J360,Parametros!$A$4:$B$10,2,FALSE))</f>
        <v/>
      </c>
      <c r="L360" s="15">
        <f>IF(K360="","",H360*K360)</f>
        <v/>
      </c>
    </row>
    <row r="361">
      <c r="A361" s="20" t="n"/>
      <c r="B361" s="20" t="n"/>
      <c r="C361" s="20" t="n"/>
      <c r="D361" s="16" t="n"/>
      <c r="E361" s="16" t="n"/>
      <c r="F361" s="21" t="n"/>
      <c r="G361" s="21" t="n"/>
      <c r="H361" s="15">
        <f>IF(F361="","",F361-N(G361))</f>
        <v/>
      </c>
      <c r="I361">
        <f>IF(OR(F361="",E361=""),"",MAX(0,Parametros!$B$1-E361))</f>
        <v/>
      </c>
      <c r="J361">
        <f>IF(OR(H361="",I361=""),"",IF(H361&lt;=0,"Pagada",IF(I361=0,"No vencida",IF(I361&lt;=30,"1-30",IF(I361&lt;=60,"31-60",IF(I361&lt;=90,"61-90",IF(I361&lt;=180,"91-180",IF(I361&lt;=360,"181-360","Más de 360"))))))))</f>
        <v/>
      </c>
      <c r="K361" s="14">
        <f>IF(OR(J361="",J361="Pagada"),"",VLOOKUP(J361,Parametros!$A$4:$B$10,2,FALSE))</f>
        <v/>
      </c>
      <c r="L361" s="15">
        <f>IF(K361="","",H361*K361)</f>
        <v/>
      </c>
    </row>
    <row r="362">
      <c r="A362" s="20" t="n"/>
      <c r="B362" s="20" t="n"/>
      <c r="C362" s="20" t="n"/>
      <c r="D362" s="16" t="n"/>
      <c r="E362" s="16" t="n"/>
      <c r="F362" s="21" t="n"/>
      <c r="G362" s="21" t="n"/>
      <c r="H362" s="15">
        <f>IF(F362="","",F362-N(G362))</f>
        <v/>
      </c>
      <c r="I362">
        <f>IF(OR(F362="",E362=""),"",MAX(0,Parametros!$B$1-E362))</f>
        <v/>
      </c>
      <c r="J362">
        <f>IF(OR(H362="",I362=""),"",IF(H362&lt;=0,"Pagada",IF(I362=0,"No vencida",IF(I362&lt;=30,"1-30",IF(I362&lt;=60,"31-60",IF(I362&lt;=90,"61-90",IF(I362&lt;=180,"91-180",IF(I362&lt;=360,"181-360","Más de 360"))))))))</f>
        <v/>
      </c>
      <c r="K362" s="14">
        <f>IF(OR(J362="",J362="Pagada"),"",VLOOKUP(J362,Parametros!$A$4:$B$10,2,FALSE))</f>
        <v/>
      </c>
      <c r="L362" s="15">
        <f>IF(K362="","",H362*K362)</f>
        <v/>
      </c>
    </row>
    <row r="363">
      <c r="A363" s="20" t="n"/>
      <c r="B363" s="20" t="n"/>
      <c r="C363" s="20" t="n"/>
      <c r="D363" s="16" t="n"/>
      <c r="E363" s="16" t="n"/>
      <c r="F363" s="21" t="n"/>
      <c r="G363" s="21" t="n"/>
      <c r="H363" s="15">
        <f>IF(F363="","",F363-N(G363))</f>
        <v/>
      </c>
      <c r="I363">
        <f>IF(OR(F363="",E363=""),"",MAX(0,Parametros!$B$1-E363))</f>
        <v/>
      </c>
      <c r="J363">
        <f>IF(OR(H363="",I363=""),"",IF(H363&lt;=0,"Pagada",IF(I363=0,"No vencida",IF(I363&lt;=30,"1-30",IF(I363&lt;=60,"31-60",IF(I363&lt;=90,"61-90",IF(I363&lt;=180,"91-180",IF(I363&lt;=360,"181-360","Más de 360"))))))))</f>
        <v/>
      </c>
      <c r="K363" s="14">
        <f>IF(OR(J363="",J363="Pagada"),"",VLOOKUP(J363,Parametros!$A$4:$B$10,2,FALSE))</f>
        <v/>
      </c>
      <c r="L363" s="15">
        <f>IF(K363="","",H363*K363)</f>
        <v/>
      </c>
    </row>
    <row r="364">
      <c r="A364" s="20" t="n"/>
      <c r="B364" s="20" t="n"/>
      <c r="C364" s="20" t="n"/>
      <c r="D364" s="16" t="n"/>
      <c r="E364" s="16" t="n"/>
      <c r="F364" s="21" t="n"/>
      <c r="G364" s="21" t="n"/>
      <c r="H364" s="15">
        <f>IF(F364="","",F364-N(G364))</f>
        <v/>
      </c>
      <c r="I364">
        <f>IF(OR(F364="",E364=""),"",MAX(0,Parametros!$B$1-E364))</f>
        <v/>
      </c>
      <c r="J364">
        <f>IF(OR(H364="",I364=""),"",IF(H364&lt;=0,"Pagada",IF(I364=0,"No vencida",IF(I364&lt;=30,"1-30",IF(I364&lt;=60,"31-60",IF(I364&lt;=90,"61-90",IF(I364&lt;=180,"91-180",IF(I364&lt;=360,"181-360","Más de 360"))))))))</f>
        <v/>
      </c>
      <c r="K364" s="14">
        <f>IF(OR(J364="",J364="Pagada"),"",VLOOKUP(J364,Parametros!$A$4:$B$10,2,FALSE))</f>
        <v/>
      </c>
      <c r="L364" s="15">
        <f>IF(K364="","",H364*K364)</f>
        <v/>
      </c>
    </row>
    <row r="365">
      <c r="A365" s="20" t="n"/>
      <c r="B365" s="20" t="n"/>
      <c r="C365" s="20" t="n"/>
      <c r="D365" s="16" t="n"/>
      <c r="E365" s="16" t="n"/>
      <c r="F365" s="21" t="n"/>
      <c r="G365" s="21" t="n"/>
      <c r="H365" s="15">
        <f>IF(F365="","",F365-N(G365))</f>
        <v/>
      </c>
      <c r="I365">
        <f>IF(OR(F365="",E365=""),"",MAX(0,Parametros!$B$1-E365))</f>
        <v/>
      </c>
      <c r="J365">
        <f>IF(OR(H365="",I365=""),"",IF(H365&lt;=0,"Pagada",IF(I365=0,"No vencida",IF(I365&lt;=30,"1-30",IF(I365&lt;=60,"31-60",IF(I365&lt;=90,"61-90",IF(I365&lt;=180,"91-180",IF(I365&lt;=360,"181-360","Más de 360"))))))))</f>
        <v/>
      </c>
      <c r="K365" s="14">
        <f>IF(OR(J365="",J365="Pagada"),"",VLOOKUP(J365,Parametros!$A$4:$B$10,2,FALSE))</f>
        <v/>
      </c>
      <c r="L365" s="15">
        <f>IF(K365="","",H365*K365)</f>
        <v/>
      </c>
    </row>
    <row r="366">
      <c r="A366" s="20" t="n"/>
      <c r="B366" s="20" t="n"/>
      <c r="C366" s="20" t="n"/>
      <c r="D366" s="16" t="n"/>
      <c r="E366" s="16" t="n"/>
      <c r="F366" s="21" t="n"/>
      <c r="G366" s="21" t="n"/>
      <c r="H366" s="15">
        <f>IF(F366="","",F366-N(G366))</f>
        <v/>
      </c>
      <c r="I366">
        <f>IF(OR(F366="",E366=""),"",MAX(0,Parametros!$B$1-E366))</f>
        <v/>
      </c>
      <c r="J366">
        <f>IF(OR(H366="",I366=""),"",IF(H366&lt;=0,"Pagada",IF(I366=0,"No vencida",IF(I366&lt;=30,"1-30",IF(I366&lt;=60,"31-60",IF(I366&lt;=90,"61-90",IF(I366&lt;=180,"91-180",IF(I366&lt;=360,"181-360","Más de 360"))))))))</f>
        <v/>
      </c>
      <c r="K366" s="14">
        <f>IF(OR(J366="",J366="Pagada"),"",VLOOKUP(J366,Parametros!$A$4:$B$10,2,FALSE))</f>
        <v/>
      </c>
      <c r="L366" s="15">
        <f>IF(K366="","",H366*K366)</f>
        <v/>
      </c>
    </row>
    <row r="367">
      <c r="A367" s="20" t="n"/>
      <c r="B367" s="20" t="n"/>
      <c r="C367" s="20" t="n"/>
      <c r="D367" s="16" t="n"/>
      <c r="E367" s="16" t="n"/>
      <c r="F367" s="21" t="n"/>
      <c r="G367" s="21" t="n"/>
      <c r="H367" s="15">
        <f>IF(F367="","",F367-N(G367))</f>
        <v/>
      </c>
      <c r="I367">
        <f>IF(OR(F367="",E367=""),"",MAX(0,Parametros!$B$1-E367))</f>
        <v/>
      </c>
      <c r="J367">
        <f>IF(OR(H367="",I367=""),"",IF(H367&lt;=0,"Pagada",IF(I367=0,"No vencida",IF(I367&lt;=30,"1-30",IF(I367&lt;=60,"31-60",IF(I367&lt;=90,"61-90",IF(I367&lt;=180,"91-180",IF(I367&lt;=360,"181-360","Más de 360"))))))))</f>
        <v/>
      </c>
      <c r="K367" s="14">
        <f>IF(OR(J367="",J367="Pagada"),"",VLOOKUP(J367,Parametros!$A$4:$B$10,2,FALSE))</f>
        <v/>
      </c>
      <c r="L367" s="15">
        <f>IF(K367="","",H367*K367)</f>
        <v/>
      </c>
    </row>
    <row r="368">
      <c r="A368" s="20" t="n"/>
      <c r="B368" s="20" t="n"/>
      <c r="C368" s="20" t="n"/>
      <c r="D368" s="16" t="n"/>
      <c r="E368" s="16" t="n"/>
      <c r="F368" s="21" t="n"/>
      <c r="G368" s="21" t="n"/>
      <c r="H368" s="15">
        <f>IF(F368="","",F368-N(G368))</f>
        <v/>
      </c>
      <c r="I368">
        <f>IF(OR(F368="",E368=""),"",MAX(0,Parametros!$B$1-E368))</f>
        <v/>
      </c>
      <c r="J368">
        <f>IF(OR(H368="",I368=""),"",IF(H368&lt;=0,"Pagada",IF(I368=0,"No vencida",IF(I368&lt;=30,"1-30",IF(I368&lt;=60,"31-60",IF(I368&lt;=90,"61-90",IF(I368&lt;=180,"91-180",IF(I368&lt;=360,"181-360","Más de 360"))))))))</f>
        <v/>
      </c>
      <c r="K368" s="14">
        <f>IF(OR(J368="",J368="Pagada"),"",VLOOKUP(J368,Parametros!$A$4:$B$10,2,FALSE))</f>
        <v/>
      </c>
      <c r="L368" s="15">
        <f>IF(K368="","",H368*K368)</f>
        <v/>
      </c>
    </row>
    <row r="369">
      <c r="A369" s="20" t="n"/>
      <c r="B369" s="20" t="n"/>
      <c r="C369" s="20" t="n"/>
      <c r="D369" s="16" t="n"/>
      <c r="E369" s="16" t="n"/>
      <c r="F369" s="21" t="n"/>
      <c r="G369" s="21" t="n"/>
      <c r="H369" s="15">
        <f>IF(F369="","",F369-N(G369))</f>
        <v/>
      </c>
      <c r="I369">
        <f>IF(OR(F369="",E369=""),"",MAX(0,Parametros!$B$1-E369))</f>
        <v/>
      </c>
      <c r="J369">
        <f>IF(OR(H369="",I369=""),"",IF(H369&lt;=0,"Pagada",IF(I369=0,"No vencida",IF(I369&lt;=30,"1-30",IF(I369&lt;=60,"31-60",IF(I369&lt;=90,"61-90",IF(I369&lt;=180,"91-180",IF(I369&lt;=360,"181-360","Más de 360"))))))))</f>
        <v/>
      </c>
      <c r="K369" s="14">
        <f>IF(OR(J369="",J369="Pagada"),"",VLOOKUP(J369,Parametros!$A$4:$B$10,2,FALSE))</f>
        <v/>
      </c>
      <c r="L369" s="15">
        <f>IF(K369="","",H369*K369)</f>
        <v/>
      </c>
    </row>
    <row r="370">
      <c r="A370" s="20" t="n"/>
      <c r="B370" s="20" t="n"/>
      <c r="C370" s="20" t="n"/>
      <c r="D370" s="16" t="n"/>
      <c r="E370" s="16" t="n"/>
      <c r="F370" s="21" t="n"/>
      <c r="G370" s="21" t="n"/>
      <c r="H370" s="15">
        <f>IF(F370="","",F370-N(G370))</f>
        <v/>
      </c>
      <c r="I370">
        <f>IF(OR(F370="",E370=""),"",MAX(0,Parametros!$B$1-E370))</f>
        <v/>
      </c>
      <c r="J370">
        <f>IF(OR(H370="",I370=""),"",IF(H370&lt;=0,"Pagada",IF(I370=0,"No vencida",IF(I370&lt;=30,"1-30",IF(I370&lt;=60,"31-60",IF(I370&lt;=90,"61-90",IF(I370&lt;=180,"91-180",IF(I370&lt;=360,"181-360","Más de 360"))))))))</f>
        <v/>
      </c>
      <c r="K370" s="14">
        <f>IF(OR(J370="",J370="Pagada"),"",VLOOKUP(J370,Parametros!$A$4:$B$10,2,FALSE))</f>
        <v/>
      </c>
      <c r="L370" s="15">
        <f>IF(K370="","",H370*K370)</f>
        <v/>
      </c>
    </row>
    <row r="371">
      <c r="A371" s="20" t="n"/>
      <c r="B371" s="20" t="n"/>
      <c r="C371" s="20" t="n"/>
      <c r="D371" s="16" t="n"/>
      <c r="E371" s="16" t="n"/>
      <c r="F371" s="21" t="n"/>
      <c r="G371" s="21" t="n"/>
      <c r="H371" s="15">
        <f>IF(F371="","",F371-N(G371))</f>
        <v/>
      </c>
      <c r="I371">
        <f>IF(OR(F371="",E371=""),"",MAX(0,Parametros!$B$1-E371))</f>
        <v/>
      </c>
      <c r="J371">
        <f>IF(OR(H371="",I371=""),"",IF(H371&lt;=0,"Pagada",IF(I371=0,"No vencida",IF(I371&lt;=30,"1-30",IF(I371&lt;=60,"31-60",IF(I371&lt;=90,"61-90",IF(I371&lt;=180,"91-180",IF(I371&lt;=360,"181-360","Más de 360"))))))))</f>
        <v/>
      </c>
      <c r="K371" s="14">
        <f>IF(OR(J371="",J371="Pagada"),"",VLOOKUP(J371,Parametros!$A$4:$B$10,2,FALSE))</f>
        <v/>
      </c>
      <c r="L371" s="15">
        <f>IF(K371="","",H371*K371)</f>
        <v/>
      </c>
    </row>
    <row r="372">
      <c r="A372" s="20" t="n"/>
      <c r="B372" s="20" t="n"/>
      <c r="C372" s="20" t="n"/>
      <c r="D372" s="16" t="n"/>
      <c r="E372" s="16" t="n"/>
      <c r="F372" s="21" t="n"/>
      <c r="G372" s="21" t="n"/>
      <c r="H372" s="15">
        <f>IF(F372="","",F372-N(G372))</f>
        <v/>
      </c>
      <c r="I372">
        <f>IF(OR(F372="",E372=""),"",MAX(0,Parametros!$B$1-E372))</f>
        <v/>
      </c>
      <c r="J372">
        <f>IF(OR(H372="",I372=""),"",IF(H372&lt;=0,"Pagada",IF(I372=0,"No vencida",IF(I372&lt;=30,"1-30",IF(I372&lt;=60,"31-60",IF(I372&lt;=90,"61-90",IF(I372&lt;=180,"91-180",IF(I372&lt;=360,"181-360","Más de 360"))))))))</f>
        <v/>
      </c>
      <c r="K372" s="14">
        <f>IF(OR(J372="",J372="Pagada"),"",VLOOKUP(J372,Parametros!$A$4:$B$10,2,FALSE))</f>
        <v/>
      </c>
      <c r="L372" s="15">
        <f>IF(K372="","",H372*K372)</f>
        <v/>
      </c>
    </row>
    <row r="373">
      <c r="A373" s="20" t="n"/>
      <c r="B373" s="20" t="n"/>
      <c r="C373" s="20" t="n"/>
      <c r="D373" s="16" t="n"/>
      <c r="E373" s="16" t="n"/>
      <c r="F373" s="21" t="n"/>
      <c r="G373" s="21" t="n"/>
      <c r="H373" s="15">
        <f>IF(F373="","",F373-N(G373))</f>
        <v/>
      </c>
      <c r="I373">
        <f>IF(OR(F373="",E373=""),"",MAX(0,Parametros!$B$1-E373))</f>
        <v/>
      </c>
      <c r="J373">
        <f>IF(OR(H373="",I373=""),"",IF(H373&lt;=0,"Pagada",IF(I373=0,"No vencida",IF(I373&lt;=30,"1-30",IF(I373&lt;=60,"31-60",IF(I373&lt;=90,"61-90",IF(I373&lt;=180,"91-180",IF(I373&lt;=360,"181-360","Más de 360"))))))))</f>
        <v/>
      </c>
      <c r="K373" s="14">
        <f>IF(OR(J373="",J373="Pagada"),"",VLOOKUP(J373,Parametros!$A$4:$B$10,2,FALSE))</f>
        <v/>
      </c>
      <c r="L373" s="15">
        <f>IF(K373="","",H373*K373)</f>
        <v/>
      </c>
    </row>
    <row r="374">
      <c r="A374" s="20" t="n"/>
      <c r="B374" s="20" t="n"/>
      <c r="C374" s="20" t="n"/>
      <c r="D374" s="16" t="n"/>
      <c r="E374" s="16" t="n"/>
      <c r="F374" s="21" t="n"/>
      <c r="G374" s="21" t="n"/>
      <c r="H374" s="15">
        <f>IF(F374="","",F374-N(G374))</f>
        <v/>
      </c>
      <c r="I374">
        <f>IF(OR(F374="",E374=""),"",MAX(0,Parametros!$B$1-E374))</f>
        <v/>
      </c>
      <c r="J374">
        <f>IF(OR(H374="",I374=""),"",IF(H374&lt;=0,"Pagada",IF(I374=0,"No vencida",IF(I374&lt;=30,"1-30",IF(I374&lt;=60,"31-60",IF(I374&lt;=90,"61-90",IF(I374&lt;=180,"91-180",IF(I374&lt;=360,"181-360","Más de 360"))))))))</f>
        <v/>
      </c>
      <c r="K374" s="14">
        <f>IF(OR(J374="",J374="Pagada"),"",VLOOKUP(J374,Parametros!$A$4:$B$10,2,FALSE))</f>
        <v/>
      </c>
      <c r="L374" s="15">
        <f>IF(K374="","",H374*K374)</f>
        <v/>
      </c>
    </row>
    <row r="375">
      <c r="A375" s="20" t="n"/>
      <c r="B375" s="20" t="n"/>
      <c r="C375" s="20" t="n"/>
      <c r="D375" s="16" t="n"/>
      <c r="E375" s="16" t="n"/>
      <c r="F375" s="21" t="n"/>
      <c r="G375" s="21" t="n"/>
      <c r="H375" s="15">
        <f>IF(F375="","",F375-N(G375))</f>
        <v/>
      </c>
      <c r="I375">
        <f>IF(OR(F375="",E375=""),"",MAX(0,Parametros!$B$1-E375))</f>
        <v/>
      </c>
      <c r="J375">
        <f>IF(OR(H375="",I375=""),"",IF(H375&lt;=0,"Pagada",IF(I375=0,"No vencida",IF(I375&lt;=30,"1-30",IF(I375&lt;=60,"31-60",IF(I375&lt;=90,"61-90",IF(I375&lt;=180,"91-180",IF(I375&lt;=360,"181-360","Más de 360"))))))))</f>
        <v/>
      </c>
      <c r="K375" s="14">
        <f>IF(OR(J375="",J375="Pagada"),"",VLOOKUP(J375,Parametros!$A$4:$B$10,2,FALSE))</f>
        <v/>
      </c>
      <c r="L375" s="15">
        <f>IF(K375="","",H375*K375)</f>
        <v/>
      </c>
    </row>
    <row r="376">
      <c r="A376" s="20" t="n"/>
      <c r="B376" s="20" t="n"/>
      <c r="C376" s="20" t="n"/>
      <c r="D376" s="16" t="n"/>
      <c r="E376" s="16" t="n"/>
      <c r="F376" s="21" t="n"/>
      <c r="G376" s="21" t="n"/>
      <c r="H376" s="15">
        <f>IF(F376="","",F376-N(G376))</f>
        <v/>
      </c>
      <c r="I376">
        <f>IF(OR(F376="",E376=""),"",MAX(0,Parametros!$B$1-E376))</f>
        <v/>
      </c>
      <c r="J376">
        <f>IF(OR(H376="",I376=""),"",IF(H376&lt;=0,"Pagada",IF(I376=0,"No vencida",IF(I376&lt;=30,"1-30",IF(I376&lt;=60,"31-60",IF(I376&lt;=90,"61-90",IF(I376&lt;=180,"91-180",IF(I376&lt;=360,"181-360","Más de 360"))))))))</f>
        <v/>
      </c>
      <c r="K376" s="14">
        <f>IF(OR(J376="",J376="Pagada"),"",VLOOKUP(J376,Parametros!$A$4:$B$10,2,FALSE))</f>
        <v/>
      </c>
      <c r="L376" s="15">
        <f>IF(K376="","",H376*K376)</f>
        <v/>
      </c>
    </row>
    <row r="377">
      <c r="A377" s="20" t="n"/>
      <c r="B377" s="20" t="n"/>
      <c r="C377" s="20" t="n"/>
      <c r="D377" s="16" t="n"/>
      <c r="E377" s="16" t="n"/>
      <c r="F377" s="21" t="n"/>
      <c r="G377" s="21" t="n"/>
      <c r="H377" s="15">
        <f>IF(F377="","",F377-N(G377))</f>
        <v/>
      </c>
      <c r="I377">
        <f>IF(OR(F377="",E377=""),"",MAX(0,Parametros!$B$1-E377))</f>
        <v/>
      </c>
      <c r="J377">
        <f>IF(OR(H377="",I377=""),"",IF(H377&lt;=0,"Pagada",IF(I377=0,"No vencida",IF(I377&lt;=30,"1-30",IF(I377&lt;=60,"31-60",IF(I377&lt;=90,"61-90",IF(I377&lt;=180,"91-180",IF(I377&lt;=360,"181-360","Más de 360"))))))))</f>
        <v/>
      </c>
      <c r="K377" s="14">
        <f>IF(OR(J377="",J377="Pagada"),"",VLOOKUP(J377,Parametros!$A$4:$B$10,2,FALSE))</f>
        <v/>
      </c>
      <c r="L377" s="15">
        <f>IF(K377="","",H377*K377)</f>
        <v/>
      </c>
    </row>
    <row r="378">
      <c r="A378" s="20" t="n"/>
      <c r="B378" s="20" t="n"/>
      <c r="C378" s="20" t="n"/>
      <c r="D378" s="16" t="n"/>
      <c r="E378" s="16" t="n"/>
      <c r="F378" s="21" t="n"/>
      <c r="G378" s="21" t="n"/>
      <c r="H378" s="15">
        <f>IF(F378="","",F378-N(G378))</f>
        <v/>
      </c>
      <c r="I378">
        <f>IF(OR(F378="",E378=""),"",MAX(0,Parametros!$B$1-E378))</f>
        <v/>
      </c>
      <c r="J378">
        <f>IF(OR(H378="",I378=""),"",IF(H378&lt;=0,"Pagada",IF(I378=0,"No vencida",IF(I378&lt;=30,"1-30",IF(I378&lt;=60,"31-60",IF(I378&lt;=90,"61-90",IF(I378&lt;=180,"91-180",IF(I378&lt;=360,"181-360","Más de 360"))))))))</f>
        <v/>
      </c>
      <c r="K378" s="14">
        <f>IF(OR(J378="",J378="Pagada"),"",VLOOKUP(J378,Parametros!$A$4:$B$10,2,FALSE))</f>
        <v/>
      </c>
      <c r="L378" s="15">
        <f>IF(K378="","",H378*K378)</f>
        <v/>
      </c>
    </row>
    <row r="379">
      <c r="A379" s="20" t="n"/>
      <c r="B379" s="20" t="n"/>
      <c r="C379" s="20" t="n"/>
      <c r="D379" s="16" t="n"/>
      <c r="E379" s="16" t="n"/>
      <c r="F379" s="21" t="n"/>
      <c r="G379" s="21" t="n"/>
      <c r="H379" s="15">
        <f>IF(F379="","",F379-N(G379))</f>
        <v/>
      </c>
      <c r="I379">
        <f>IF(OR(F379="",E379=""),"",MAX(0,Parametros!$B$1-E379))</f>
        <v/>
      </c>
      <c r="J379">
        <f>IF(OR(H379="",I379=""),"",IF(H379&lt;=0,"Pagada",IF(I379=0,"No vencida",IF(I379&lt;=30,"1-30",IF(I379&lt;=60,"31-60",IF(I379&lt;=90,"61-90",IF(I379&lt;=180,"91-180",IF(I379&lt;=360,"181-360","Más de 360"))))))))</f>
        <v/>
      </c>
      <c r="K379" s="14">
        <f>IF(OR(J379="",J379="Pagada"),"",VLOOKUP(J379,Parametros!$A$4:$B$10,2,FALSE))</f>
        <v/>
      </c>
      <c r="L379" s="15">
        <f>IF(K379="","",H379*K379)</f>
        <v/>
      </c>
    </row>
    <row r="380">
      <c r="A380" s="20" t="n"/>
      <c r="B380" s="20" t="n"/>
      <c r="C380" s="20" t="n"/>
      <c r="D380" s="16" t="n"/>
      <c r="E380" s="16" t="n"/>
      <c r="F380" s="21" t="n"/>
      <c r="G380" s="21" t="n"/>
      <c r="H380" s="15">
        <f>IF(F380="","",F380-N(G380))</f>
        <v/>
      </c>
      <c r="I380">
        <f>IF(OR(F380="",E380=""),"",MAX(0,Parametros!$B$1-E380))</f>
        <v/>
      </c>
      <c r="J380">
        <f>IF(OR(H380="",I380=""),"",IF(H380&lt;=0,"Pagada",IF(I380=0,"No vencida",IF(I380&lt;=30,"1-30",IF(I380&lt;=60,"31-60",IF(I380&lt;=90,"61-90",IF(I380&lt;=180,"91-180",IF(I380&lt;=360,"181-360","Más de 360"))))))))</f>
        <v/>
      </c>
      <c r="K380" s="14">
        <f>IF(OR(J380="",J380="Pagada"),"",VLOOKUP(J380,Parametros!$A$4:$B$10,2,FALSE))</f>
        <v/>
      </c>
      <c r="L380" s="15">
        <f>IF(K380="","",H380*K380)</f>
        <v/>
      </c>
    </row>
    <row r="381">
      <c r="A381" s="20" t="n"/>
      <c r="B381" s="20" t="n"/>
      <c r="C381" s="20" t="n"/>
      <c r="D381" s="16" t="n"/>
      <c r="E381" s="16" t="n"/>
      <c r="F381" s="21" t="n"/>
      <c r="G381" s="21" t="n"/>
      <c r="H381" s="15">
        <f>IF(F381="","",F381-N(G381))</f>
        <v/>
      </c>
      <c r="I381">
        <f>IF(OR(F381="",E381=""),"",MAX(0,Parametros!$B$1-E381))</f>
        <v/>
      </c>
      <c r="J381">
        <f>IF(OR(H381="",I381=""),"",IF(H381&lt;=0,"Pagada",IF(I381=0,"No vencida",IF(I381&lt;=30,"1-30",IF(I381&lt;=60,"31-60",IF(I381&lt;=90,"61-90",IF(I381&lt;=180,"91-180",IF(I381&lt;=360,"181-360","Más de 360"))))))))</f>
        <v/>
      </c>
      <c r="K381" s="14">
        <f>IF(OR(J381="",J381="Pagada"),"",VLOOKUP(J381,Parametros!$A$4:$B$10,2,FALSE))</f>
        <v/>
      </c>
      <c r="L381" s="15">
        <f>IF(K381="","",H381*K381)</f>
        <v/>
      </c>
    </row>
    <row r="382">
      <c r="A382" s="20" t="n"/>
      <c r="B382" s="20" t="n"/>
      <c r="C382" s="20" t="n"/>
      <c r="D382" s="16" t="n"/>
      <c r="E382" s="16" t="n"/>
      <c r="F382" s="21" t="n"/>
      <c r="G382" s="21" t="n"/>
      <c r="H382" s="15">
        <f>IF(F382="","",F382-N(G382))</f>
        <v/>
      </c>
      <c r="I382">
        <f>IF(OR(F382="",E382=""),"",MAX(0,Parametros!$B$1-E382))</f>
        <v/>
      </c>
      <c r="J382">
        <f>IF(OR(H382="",I382=""),"",IF(H382&lt;=0,"Pagada",IF(I382=0,"No vencida",IF(I382&lt;=30,"1-30",IF(I382&lt;=60,"31-60",IF(I382&lt;=90,"61-90",IF(I382&lt;=180,"91-180",IF(I382&lt;=360,"181-360","Más de 360"))))))))</f>
        <v/>
      </c>
      <c r="K382" s="14">
        <f>IF(OR(J382="",J382="Pagada"),"",VLOOKUP(J382,Parametros!$A$4:$B$10,2,FALSE))</f>
        <v/>
      </c>
      <c r="L382" s="15">
        <f>IF(K382="","",H382*K382)</f>
        <v/>
      </c>
    </row>
    <row r="383">
      <c r="A383" s="20" t="n"/>
      <c r="B383" s="20" t="n"/>
      <c r="C383" s="20" t="n"/>
      <c r="D383" s="16" t="n"/>
      <c r="E383" s="16" t="n"/>
      <c r="F383" s="21" t="n"/>
      <c r="G383" s="21" t="n"/>
      <c r="H383" s="15">
        <f>IF(F383="","",F383-N(G383))</f>
        <v/>
      </c>
      <c r="I383">
        <f>IF(OR(F383="",E383=""),"",MAX(0,Parametros!$B$1-E383))</f>
        <v/>
      </c>
      <c r="J383">
        <f>IF(OR(H383="",I383=""),"",IF(H383&lt;=0,"Pagada",IF(I383=0,"No vencida",IF(I383&lt;=30,"1-30",IF(I383&lt;=60,"31-60",IF(I383&lt;=90,"61-90",IF(I383&lt;=180,"91-180",IF(I383&lt;=360,"181-360","Más de 360"))))))))</f>
        <v/>
      </c>
      <c r="K383" s="14">
        <f>IF(OR(J383="",J383="Pagada"),"",VLOOKUP(J383,Parametros!$A$4:$B$10,2,FALSE))</f>
        <v/>
      </c>
      <c r="L383" s="15">
        <f>IF(K383="","",H383*K383)</f>
        <v/>
      </c>
    </row>
    <row r="384">
      <c r="A384" s="20" t="n"/>
      <c r="B384" s="20" t="n"/>
      <c r="C384" s="20" t="n"/>
      <c r="D384" s="16" t="n"/>
      <c r="E384" s="16" t="n"/>
      <c r="F384" s="21" t="n"/>
      <c r="G384" s="21" t="n"/>
      <c r="H384" s="15">
        <f>IF(F384="","",F384-N(G384))</f>
        <v/>
      </c>
      <c r="I384">
        <f>IF(OR(F384="",E384=""),"",MAX(0,Parametros!$B$1-E384))</f>
        <v/>
      </c>
      <c r="J384">
        <f>IF(OR(H384="",I384=""),"",IF(H384&lt;=0,"Pagada",IF(I384=0,"No vencida",IF(I384&lt;=30,"1-30",IF(I384&lt;=60,"31-60",IF(I384&lt;=90,"61-90",IF(I384&lt;=180,"91-180",IF(I384&lt;=360,"181-360","Más de 360"))))))))</f>
        <v/>
      </c>
      <c r="K384" s="14">
        <f>IF(OR(J384="",J384="Pagada"),"",VLOOKUP(J384,Parametros!$A$4:$B$10,2,FALSE))</f>
        <v/>
      </c>
      <c r="L384" s="15">
        <f>IF(K384="","",H384*K384)</f>
        <v/>
      </c>
    </row>
    <row r="385">
      <c r="A385" s="20" t="n"/>
      <c r="B385" s="20" t="n"/>
      <c r="C385" s="20" t="n"/>
      <c r="D385" s="16" t="n"/>
      <c r="E385" s="16" t="n"/>
      <c r="F385" s="21" t="n"/>
      <c r="G385" s="21" t="n"/>
      <c r="H385" s="15">
        <f>IF(F385="","",F385-N(G385))</f>
        <v/>
      </c>
      <c r="I385">
        <f>IF(OR(F385="",E385=""),"",MAX(0,Parametros!$B$1-E385))</f>
        <v/>
      </c>
      <c r="J385">
        <f>IF(OR(H385="",I385=""),"",IF(H385&lt;=0,"Pagada",IF(I385=0,"No vencida",IF(I385&lt;=30,"1-30",IF(I385&lt;=60,"31-60",IF(I385&lt;=90,"61-90",IF(I385&lt;=180,"91-180",IF(I385&lt;=360,"181-360","Más de 360"))))))))</f>
        <v/>
      </c>
      <c r="K385" s="14">
        <f>IF(OR(J385="",J385="Pagada"),"",VLOOKUP(J385,Parametros!$A$4:$B$10,2,FALSE))</f>
        <v/>
      </c>
      <c r="L385" s="15">
        <f>IF(K385="","",H385*K385)</f>
        <v/>
      </c>
    </row>
    <row r="386">
      <c r="A386" s="20" t="n"/>
      <c r="B386" s="20" t="n"/>
      <c r="C386" s="20" t="n"/>
      <c r="D386" s="16" t="n"/>
      <c r="E386" s="16" t="n"/>
      <c r="F386" s="21" t="n"/>
      <c r="G386" s="21" t="n"/>
      <c r="H386" s="15">
        <f>IF(F386="","",F386-N(G386))</f>
        <v/>
      </c>
      <c r="I386">
        <f>IF(OR(F386="",E386=""),"",MAX(0,Parametros!$B$1-E386))</f>
        <v/>
      </c>
      <c r="J386">
        <f>IF(OR(H386="",I386=""),"",IF(H386&lt;=0,"Pagada",IF(I386=0,"No vencida",IF(I386&lt;=30,"1-30",IF(I386&lt;=60,"31-60",IF(I386&lt;=90,"61-90",IF(I386&lt;=180,"91-180",IF(I386&lt;=360,"181-360","Más de 360"))))))))</f>
        <v/>
      </c>
      <c r="K386" s="14">
        <f>IF(OR(J386="",J386="Pagada"),"",VLOOKUP(J386,Parametros!$A$4:$B$10,2,FALSE))</f>
        <v/>
      </c>
      <c r="L386" s="15">
        <f>IF(K386="","",H386*K386)</f>
        <v/>
      </c>
    </row>
    <row r="387">
      <c r="A387" s="20" t="n"/>
      <c r="B387" s="20" t="n"/>
      <c r="C387" s="20" t="n"/>
      <c r="D387" s="16" t="n"/>
      <c r="E387" s="16" t="n"/>
      <c r="F387" s="21" t="n"/>
      <c r="G387" s="21" t="n"/>
      <c r="H387" s="15">
        <f>IF(F387="","",F387-N(G387))</f>
        <v/>
      </c>
      <c r="I387">
        <f>IF(OR(F387="",E387=""),"",MAX(0,Parametros!$B$1-E387))</f>
        <v/>
      </c>
      <c r="J387">
        <f>IF(OR(H387="",I387=""),"",IF(H387&lt;=0,"Pagada",IF(I387=0,"No vencida",IF(I387&lt;=30,"1-30",IF(I387&lt;=60,"31-60",IF(I387&lt;=90,"61-90",IF(I387&lt;=180,"91-180",IF(I387&lt;=360,"181-360","Más de 360"))))))))</f>
        <v/>
      </c>
      <c r="K387" s="14">
        <f>IF(OR(J387="",J387="Pagada"),"",VLOOKUP(J387,Parametros!$A$4:$B$10,2,FALSE))</f>
        <v/>
      </c>
      <c r="L387" s="15">
        <f>IF(K387="","",H387*K387)</f>
        <v/>
      </c>
    </row>
    <row r="388">
      <c r="A388" s="20" t="n"/>
      <c r="B388" s="20" t="n"/>
      <c r="C388" s="20" t="n"/>
      <c r="D388" s="16" t="n"/>
      <c r="E388" s="16" t="n"/>
      <c r="F388" s="21" t="n"/>
      <c r="G388" s="21" t="n"/>
      <c r="H388" s="15">
        <f>IF(F388="","",F388-N(G388))</f>
        <v/>
      </c>
      <c r="I388">
        <f>IF(OR(F388="",E388=""),"",MAX(0,Parametros!$B$1-E388))</f>
        <v/>
      </c>
      <c r="J388">
        <f>IF(OR(H388="",I388=""),"",IF(H388&lt;=0,"Pagada",IF(I388=0,"No vencida",IF(I388&lt;=30,"1-30",IF(I388&lt;=60,"31-60",IF(I388&lt;=90,"61-90",IF(I388&lt;=180,"91-180",IF(I388&lt;=360,"181-360","Más de 360"))))))))</f>
        <v/>
      </c>
      <c r="K388" s="14">
        <f>IF(OR(J388="",J388="Pagada"),"",VLOOKUP(J388,Parametros!$A$4:$B$10,2,FALSE))</f>
        <v/>
      </c>
      <c r="L388" s="15">
        <f>IF(K388="","",H388*K388)</f>
        <v/>
      </c>
    </row>
    <row r="389">
      <c r="A389" s="20" t="n"/>
      <c r="B389" s="20" t="n"/>
      <c r="C389" s="20" t="n"/>
      <c r="D389" s="16" t="n"/>
      <c r="E389" s="16" t="n"/>
      <c r="F389" s="21" t="n"/>
      <c r="G389" s="21" t="n"/>
      <c r="H389" s="15">
        <f>IF(F389="","",F389-N(G389))</f>
        <v/>
      </c>
      <c r="I389">
        <f>IF(OR(F389="",E389=""),"",MAX(0,Parametros!$B$1-E389))</f>
        <v/>
      </c>
      <c r="J389">
        <f>IF(OR(H389="",I389=""),"",IF(H389&lt;=0,"Pagada",IF(I389=0,"No vencida",IF(I389&lt;=30,"1-30",IF(I389&lt;=60,"31-60",IF(I389&lt;=90,"61-90",IF(I389&lt;=180,"91-180",IF(I389&lt;=360,"181-360","Más de 360"))))))))</f>
        <v/>
      </c>
      <c r="K389" s="14">
        <f>IF(OR(J389="",J389="Pagada"),"",VLOOKUP(J389,Parametros!$A$4:$B$10,2,FALSE))</f>
        <v/>
      </c>
      <c r="L389" s="15">
        <f>IF(K389="","",H389*K389)</f>
        <v/>
      </c>
    </row>
    <row r="390">
      <c r="A390" s="20" t="n"/>
      <c r="B390" s="20" t="n"/>
      <c r="C390" s="20" t="n"/>
      <c r="D390" s="16" t="n"/>
      <c r="E390" s="16" t="n"/>
      <c r="F390" s="21" t="n"/>
      <c r="G390" s="21" t="n"/>
      <c r="H390" s="15">
        <f>IF(F390="","",F390-N(G390))</f>
        <v/>
      </c>
      <c r="I390">
        <f>IF(OR(F390="",E390=""),"",MAX(0,Parametros!$B$1-E390))</f>
        <v/>
      </c>
      <c r="J390">
        <f>IF(OR(H390="",I390=""),"",IF(H390&lt;=0,"Pagada",IF(I390=0,"No vencida",IF(I390&lt;=30,"1-30",IF(I390&lt;=60,"31-60",IF(I390&lt;=90,"61-90",IF(I390&lt;=180,"91-180",IF(I390&lt;=360,"181-360","Más de 360"))))))))</f>
        <v/>
      </c>
      <c r="K390" s="14">
        <f>IF(OR(J390="",J390="Pagada"),"",VLOOKUP(J390,Parametros!$A$4:$B$10,2,FALSE))</f>
        <v/>
      </c>
      <c r="L390" s="15">
        <f>IF(K390="","",H390*K390)</f>
        <v/>
      </c>
    </row>
    <row r="391">
      <c r="A391" s="20" t="n"/>
      <c r="B391" s="20" t="n"/>
      <c r="C391" s="20" t="n"/>
      <c r="D391" s="16" t="n"/>
      <c r="E391" s="16" t="n"/>
      <c r="F391" s="21" t="n"/>
      <c r="G391" s="21" t="n"/>
      <c r="H391" s="15">
        <f>IF(F391="","",F391-N(G391))</f>
        <v/>
      </c>
      <c r="I391">
        <f>IF(OR(F391="",E391=""),"",MAX(0,Parametros!$B$1-E391))</f>
        <v/>
      </c>
      <c r="J391">
        <f>IF(OR(H391="",I391=""),"",IF(H391&lt;=0,"Pagada",IF(I391=0,"No vencida",IF(I391&lt;=30,"1-30",IF(I391&lt;=60,"31-60",IF(I391&lt;=90,"61-90",IF(I391&lt;=180,"91-180",IF(I391&lt;=360,"181-360","Más de 360"))))))))</f>
        <v/>
      </c>
      <c r="K391" s="14">
        <f>IF(OR(J391="",J391="Pagada"),"",VLOOKUP(J391,Parametros!$A$4:$B$10,2,FALSE))</f>
        <v/>
      </c>
      <c r="L391" s="15">
        <f>IF(K391="","",H391*K391)</f>
        <v/>
      </c>
    </row>
    <row r="392">
      <c r="A392" s="20" t="n"/>
      <c r="B392" s="20" t="n"/>
      <c r="C392" s="20" t="n"/>
      <c r="D392" s="16" t="n"/>
      <c r="E392" s="16" t="n"/>
      <c r="F392" s="21" t="n"/>
      <c r="G392" s="21" t="n"/>
      <c r="H392" s="15">
        <f>IF(F392="","",F392-N(G392))</f>
        <v/>
      </c>
      <c r="I392">
        <f>IF(OR(F392="",E392=""),"",MAX(0,Parametros!$B$1-E392))</f>
        <v/>
      </c>
      <c r="J392">
        <f>IF(OR(H392="",I392=""),"",IF(H392&lt;=0,"Pagada",IF(I392=0,"No vencida",IF(I392&lt;=30,"1-30",IF(I392&lt;=60,"31-60",IF(I392&lt;=90,"61-90",IF(I392&lt;=180,"91-180",IF(I392&lt;=360,"181-360","Más de 360"))))))))</f>
        <v/>
      </c>
      <c r="K392" s="14">
        <f>IF(OR(J392="",J392="Pagada"),"",VLOOKUP(J392,Parametros!$A$4:$B$10,2,FALSE))</f>
        <v/>
      </c>
      <c r="L392" s="15">
        <f>IF(K392="","",H392*K392)</f>
        <v/>
      </c>
    </row>
    <row r="393">
      <c r="A393" s="20" t="n"/>
      <c r="B393" s="20" t="n"/>
      <c r="C393" s="20" t="n"/>
      <c r="D393" s="16" t="n"/>
      <c r="E393" s="16" t="n"/>
      <c r="F393" s="21" t="n"/>
      <c r="G393" s="21" t="n"/>
      <c r="H393" s="15">
        <f>IF(F393="","",F393-N(G393))</f>
        <v/>
      </c>
      <c r="I393">
        <f>IF(OR(F393="",E393=""),"",MAX(0,Parametros!$B$1-E393))</f>
        <v/>
      </c>
      <c r="J393">
        <f>IF(OR(H393="",I393=""),"",IF(H393&lt;=0,"Pagada",IF(I393=0,"No vencida",IF(I393&lt;=30,"1-30",IF(I393&lt;=60,"31-60",IF(I393&lt;=90,"61-90",IF(I393&lt;=180,"91-180",IF(I393&lt;=360,"181-360","Más de 360"))))))))</f>
        <v/>
      </c>
      <c r="K393" s="14">
        <f>IF(OR(J393="",J393="Pagada"),"",VLOOKUP(J393,Parametros!$A$4:$B$10,2,FALSE))</f>
        <v/>
      </c>
      <c r="L393" s="15">
        <f>IF(K393="","",H393*K393)</f>
        <v/>
      </c>
    </row>
    <row r="394">
      <c r="A394" s="20" t="n"/>
      <c r="B394" s="20" t="n"/>
      <c r="C394" s="20" t="n"/>
      <c r="D394" s="16" t="n"/>
      <c r="E394" s="16" t="n"/>
      <c r="F394" s="21" t="n"/>
      <c r="G394" s="21" t="n"/>
      <c r="H394" s="15">
        <f>IF(F394="","",F394-N(G394))</f>
        <v/>
      </c>
      <c r="I394">
        <f>IF(OR(F394="",E394=""),"",MAX(0,Parametros!$B$1-E394))</f>
        <v/>
      </c>
      <c r="J394">
        <f>IF(OR(H394="",I394=""),"",IF(H394&lt;=0,"Pagada",IF(I394=0,"No vencida",IF(I394&lt;=30,"1-30",IF(I394&lt;=60,"31-60",IF(I394&lt;=90,"61-90",IF(I394&lt;=180,"91-180",IF(I394&lt;=360,"181-360","Más de 360"))))))))</f>
        <v/>
      </c>
      <c r="K394" s="14">
        <f>IF(OR(J394="",J394="Pagada"),"",VLOOKUP(J394,Parametros!$A$4:$B$10,2,FALSE))</f>
        <v/>
      </c>
      <c r="L394" s="15">
        <f>IF(K394="","",H394*K394)</f>
        <v/>
      </c>
    </row>
    <row r="395">
      <c r="A395" s="20" t="n"/>
      <c r="B395" s="20" t="n"/>
      <c r="C395" s="20" t="n"/>
      <c r="D395" s="16" t="n"/>
      <c r="E395" s="16" t="n"/>
      <c r="F395" s="21" t="n"/>
      <c r="G395" s="21" t="n"/>
      <c r="H395" s="15">
        <f>IF(F395="","",F395-N(G395))</f>
        <v/>
      </c>
      <c r="I395">
        <f>IF(OR(F395="",E395=""),"",MAX(0,Parametros!$B$1-E395))</f>
        <v/>
      </c>
      <c r="J395">
        <f>IF(OR(H395="",I395=""),"",IF(H395&lt;=0,"Pagada",IF(I395=0,"No vencida",IF(I395&lt;=30,"1-30",IF(I395&lt;=60,"31-60",IF(I395&lt;=90,"61-90",IF(I395&lt;=180,"91-180",IF(I395&lt;=360,"181-360","Más de 360"))))))))</f>
        <v/>
      </c>
      <c r="K395" s="14">
        <f>IF(OR(J395="",J395="Pagada"),"",VLOOKUP(J395,Parametros!$A$4:$B$10,2,FALSE))</f>
        <v/>
      </c>
      <c r="L395" s="15">
        <f>IF(K395="","",H395*K395)</f>
        <v/>
      </c>
    </row>
    <row r="396">
      <c r="A396" s="20" t="n"/>
      <c r="B396" s="20" t="n"/>
      <c r="C396" s="20" t="n"/>
      <c r="D396" s="16" t="n"/>
      <c r="E396" s="16" t="n"/>
      <c r="F396" s="21" t="n"/>
      <c r="G396" s="21" t="n"/>
      <c r="H396" s="15">
        <f>IF(F396="","",F396-N(G396))</f>
        <v/>
      </c>
      <c r="I396">
        <f>IF(OR(F396="",E396=""),"",MAX(0,Parametros!$B$1-E396))</f>
        <v/>
      </c>
      <c r="J396">
        <f>IF(OR(H396="",I396=""),"",IF(H396&lt;=0,"Pagada",IF(I396=0,"No vencida",IF(I396&lt;=30,"1-30",IF(I396&lt;=60,"31-60",IF(I396&lt;=90,"61-90",IF(I396&lt;=180,"91-180",IF(I396&lt;=360,"181-360","Más de 360"))))))))</f>
        <v/>
      </c>
      <c r="K396" s="14">
        <f>IF(OR(J396="",J396="Pagada"),"",VLOOKUP(J396,Parametros!$A$4:$B$10,2,FALSE))</f>
        <v/>
      </c>
      <c r="L396" s="15">
        <f>IF(K396="","",H396*K396)</f>
        <v/>
      </c>
    </row>
    <row r="397">
      <c r="A397" s="20" t="n"/>
      <c r="B397" s="20" t="n"/>
      <c r="C397" s="20" t="n"/>
      <c r="D397" s="16" t="n"/>
      <c r="E397" s="16" t="n"/>
      <c r="F397" s="21" t="n"/>
      <c r="G397" s="21" t="n"/>
      <c r="H397" s="15">
        <f>IF(F397="","",F397-N(G397))</f>
        <v/>
      </c>
      <c r="I397">
        <f>IF(OR(F397="",E397=""),"",MAX(0,Parametros!$B$1-E397))</f>
        <v/>
      </c>
      <c r="J397">
        <f>IF(OR(H397="",I397=""),"",IF(H397&lt;=0,"Pagada",IF(I397=0,"No vencida",IF(I397&lt;=30,"1-30",IF(I397&lt;=60,"31-60",IF(I397&lt;=90,"61-90",IF(I397&lt;=180,"91-180",IF(I397&lt;=360,"181-360","Más de 360"))))))))</f>
        <v/>
      </c>
      <c r="K397" s="14">
        <f>IF(OR(J397="",J397="Pagada"),"",VLOOKUP(J397,Parametros!$A$4:$B$10,2,FALSE))</f>
        <v/>
      </c>
      <c r="L397" s="15">
        <f>IF(K397="","",H397*K397)</f>
        <v/>
      </c>
    </row>
    <row r="398">
      <c r="A398" s="20" t="n"/>
      <c r="B398" s="20" t="n"/>
      <c r="C398" s="20" t="n"/>
      <c r="D398" s="16" t="n"/>
      <c r="E398" s="16" t="n"/>
      <c r="F398" s="21" t="n"/>
      <c r="G398" s="21" t="n"/>
      <c r="H398" s="15">
        <f>IF(F398="","",F398-N(G398))</f>
        <v/>
      </c>
      <c r="I398">
        <f>IF(OR(F398="",E398=""),"",MAX(0,Parametros!$B$1-E398))</f>
        <v/>
      </c>
      <c r="J398">
        <f>IF(OR(H398="",I398=""),"",IF(H398&lt;=0,"Pagada",IF(I398=0,"No vencida",IF(I398&lt;=30,"1-30",IF(I398&lt;=60,"31-60",IF(I398&lt;=90,"61-90",IF(I398&lt;=180,"91-180",IF(I398&lt;=360,"181-360","Más de 360"))))))))</f>
        <v/>
      </c>
      <c r="K398" s="14">
        <f>IF(OR(J398="",J398="Pagada"),"",VLOOKUP(J398,Parametros!$A$4:$B$10,2,FALSE))</f>
        <v/>
      </c>
      <c r="L398" s="15">
        <f>IF(K398="","",H398*K398)</f>
        <v/>
      </c>
    </row>
    <row r="399">
      <c r="A399" s="20" t="n"/>
      <c r="B399" s="20" t="n"/>
      <c r="C399" s="20" t="n"/>
      <c r="D399" s="16" t="n"/>
      <c r="E399" s="16" t="n"/>
      <c r="F399" s="21" t="n"/>
      <c r="G399" s="21" t="n"/>
      <c r="H399" s="15">
        <f>IF(F399="","",F399-N(G399))</f>
        <v/>
      </c>
      <c r="I399">
        <f>IF(OR(F399="",E399=""),"",MAX(0,Parametros!$B$1-E399))</f>
        <v/>
      </c>
      <c r="J399">
        <f>IF(OR(H399="",I399=""),"",IF(H399&lt;=0,"Pagada",IF(I399=0,"No vencida",IF(I399&lt;=30,"1-30",IF(I399&lt;=60,"31-60",IF(I399&lt;=90,"61-90",IF(I399&lt;=180,"91-180",IF(I399&lt;=360,"181-360","Más de 360"))))))))</f>
        <v/>
      </c>
      <c r="K399" s="14">
        <f>IF(OR(J399="",J399="Pagada"),"",VLOOKUP(J399,Parametros!$A$4:$B$10,2,FALSE))</f>
        <v/>
      </c>
      <c r="L399" s="15">
        <f>IF(K399="","",H399*K399)</f>
        <v/>
      </c>
    </row>
    <row r="400">
      <c r="A400" s="20" t="n"/>
      <c r="B400" s="20" t="n"/>
      <c r="C400" s="20" t="n"/>
      <c r="D400" s="16" t="n"/>
      <c r="E400" s="16" t="n"/>
      <c r="F400" s="21" t="n"/>
      <c r="G400" s="21" t="n"/>
      <c r="H400" s="15">
        <f>IF(F400="","",F400-N(G400))</f>
        <v/>
      </c>
      <c r="I400">
        <f>IF(OR(F400="",E400=""),"",MAX(0,Parametros!$B$1-E400))</f>
        <v/>
      </c>
      <c r="J400">
        <f>IF(OR(H400="",I400=""),"",IF(H400&lt;=0,"Pagada",IF(I400=0,"No vencida",IF(I400&lt;=30,"1-30",IF(I400&lt;=60,"31-60",IF(I400&lt;=90,"61-90",IF(I400&lt;=180,"91-180",IF(I400&lt;=360,"181-360","Más de 360"))))))))</f>
        <v/>
      </c>
      <c r="K400" s="14">
        <f>IF(OR(J400="",J400="Pagada"),"",VLOOKUP(J400,Parametros!$A$4:$B$10,2,FALSE))</f>
        <v/>
      </c>
      <c r="L400" s="15">
        <f>IF(K400="","",H400*K400)</f>
        <v/>
      </c>
    </row>
    <row r="401">
      <c r="A401" s="20" t="n"/>
      <c r="B401" s="20" t="n"/>
      <c r="C401" s="20" t="n"/>
      <c r="D401" s="16" t="n"/>
      <c r="E401" s="16" t="n"/>
      <c r="F401" s="21" t="n"/>
      <c r="G401" s="21" t="n"/>
      <c r="H401" s="15">
        <f>IF(F401="","",F401-N(G401))</f>
        <v/>
      </c>
      <c r="I401">
        <f>IF(OR(F401="",E401=""),"",MAX(0,Parametros!$B$1-E401))</f>
        <v/>
      </c>
      <c r="J401">
        <f>IF(OR(H401="",I401=""),"",IF(H401&lt;=0,"Pagada",IF(I401=0,"No vencida",IF(I401&lt;=30,"1-30",IF(I401&lt;=60,"31-60",IF(I401&lt;=90,"61-90",IF(I401&lt;=180,"91-180",IF(I401&lt;=360,"181-360","Más de 360"))))))))</f>
        <v/>
      </c>
      <c r="K401" s="14">
        <f>IF(OR(J401="",J401="Pagada"),"",VLOOKUP(J401,Parametros!$A$4:$B$10,2,FALSE))</f>
        <v/>
      </c>
      <c r="L401" s="15">
        <f>IF(K401="","",H401*K401)</f>
        <v/>
      </c>
    </row>
    <row r="402">
      <c r="A402" s="20" t="n"/>
      <c r="B402" s="20" t="n"/>
      <c r="C402" s="20" t="n"/>
      <c r="D402" s="16" t="n"/>
      <c r="E402" s="16" t="n"/>
      <c r="F402" s="21" t="n"/>
      <c r="G402" s="21" t="n"/>
      <c r="H402" s="15">
        <f>IF(F402="","",F402-N(G402))</f>
        <v/>
      </c>
      <c r="I402">
        <f>IF(OR(F402="",E402=""),"",MAX(0,Parametros!$B$1-E402))</f>
        <v/>
      </c>
      <c r="J402">
        <f>IF(OR(H402="",I402=""),"",IF(H402&lt;=0,"Pagada",IF(I402=0,"No vencida",IF(I402&lt;=30,"1-30",IF(I402&lt;=60,"31-60",IF(I402&lt;=90,"61-90",IF(I402&lt;=180,"91-180",IF(I402&lt;=360,"181-360","Más de 360"))))))))</f>
        <v/>
      </c>
      <c r="K402" s="14">
        <f>IF(OR(J402="",J402="Pagada"),"",VLOOKUP(J402,Parametros!$A$4:$B$10,2,FALSE))</f>
        <v/>
      </c>
      <c r="L402" s="15">
        <f>IF(K402="","",H402*K402)</f>
        <v/>
      </c>
    </row>
    <row r="403">
      <c r="A403" s="20" t="n"/>
      <c r="B403" s="20" t="n"/>
      <c r="C403" s="20" t="n"/>
      <c r="D403" s="16" t="n"/>
      <c r="E403" s="16" t="n"/>
      <c r="F403" s="21" t="n"/>
      <c r="G403" s="21" t="n"/>
      <c r="H403" s="15">
        <f>IF(F403="","",F403-N(G403))</f>
        <v/>
      </c>
      <c r="I403">
        <f>IF(OR(F403="",E403=""),"",MAX(0,Parametros!$B$1-E403))</f>
        <v/>
      </c>
      <c r="J403">
        <f>IF(OR(H403="",I403=""),"",IF(H403&lt;=0,"Pagada",IF(I403=0,"No vencida",IF(I403&lt;=30,"1-30",IF(I403&lt;=60,"31-60",IF(I403&lt;=90,"61-90",IF(I403&lt;=180,"91-180",IF(I403&lt;=360,"181-360","Más de 360"))))))))</f>
        <v/>
      </c>
      <c r="K403" s="14">
        <f>IF(OR(J403="",J403="Pagada"),"",VLOOKUP(J403,Parametros!$A$4:$B$10,2,FALSE))</f>
        <v/>
      </c>
      <c r="L403" s="15">
        <f>IF(K403="","",H403*K403)</f>
        <v/>
      </c>
    </row>
    <row r="404">
      <c r="A404" s="20" t="n"/>
      <c r="B404" s="20" t="n"/>
      <c r="C404" s="20" t="n"/>
      <c r="D404" s="16" t="n"/>
      <c r="E404" s="16" t="n"/>
      <c r="F404" s="21" t="n"/>
      <c r="G404" s="21" t="n"/>
      <c r="H404" s="15">
        <f>IF(F404="","",F404-N(G404))</f>
        <v/>
      </c>
      <c r="I404">
        <f>IF(OR(F404="",E404=""),"",MAX(0,Parametros!$B$1-E404))</f>
        <v/>
      </c>
      <c r="J404">
        <f>IF(OR(H404="",I404=""),"",IF(H404&lt;=0,"Pagada",IF(I404=0,"No vencida",IF(I404&lt;=30,"1-30",IF(I404&lt;=60,"31-60",IF(I404&lt;=90,"61-90",IF(I404&lt;=180,"91-180",IF(I404&lt;=360,"181-360","Más de 360"))))))))</f>
        <v/>
      </c>
      <c r="K404" s="14">
        <f>IF(OR(J404="",J404="Pagada"),"",VLOOKUP(J404,Parametros!$A$4:$B$10,2,FALSE))</f>
        <v/>
      </c>
      <c r="L404" s="15">
        <f>IF(K404="","",H404*K404)</f>
        <v/>
      </c>
    </row>
    <row r="405">
      <c r="A405" s="20" t="n"/>
      <c r="B405" s="20" t="n"/>
      <c r="C405" s="20" t="n"/>
      <c r="D405" s="16" t="n"/>
      <c r="E405" s="16" t="n"/>
      <c r="F405" s="21" t="n"/>
      <c r="G405" s="21" t="n"/>
      <c r="H405" s="15">
        <f>IF(F405="","",F405-N(G405))</f>
        <v/>
      </c>
      <c r="I405">
        <f>IF(OR(F405="",E405=""),"",MAX(0,Parametros!$B$1-E405))</f>
        <v/>
      </c>
      <c r="J405">
        <f>IF(OR(H405="",I405=""),"",IF(H405&lt;=0,"Pagada",IF(I405=0,"No vencida",IF(I405&lt;=30,"1-30",IF(I405&lt;=60,"31-60",IF(I405&lt;=90,"61-90",IF(I405&lt;=180,"91-180",IF(I405&lt;=360,"181-360","Más de 360"))))))))</f>
        <v/>
      </c>
      <c r="K405" s="14">
        <f>IF(OR(J405="",J405="Pagada"),"",VLOOKUP(J405,Parametros!$A$4:$B$10,2,FALSE))</f>
        <v/>
      </c>
      <c r="L405" s="15">
        <f>IF(K405="","",H405*K405)</f>
        <v/>
      </c>
    </row>
    <row r="406">
      <c r="A406" s="20" t="n"/>
      <c r="B406" s="20" t="n"/>
      <c r="C406" s="20" t="n"/>
      <c r="D406" s="16" t="n"/>
      <c r="E406" s="16" t="n"/>
      <c r="F406" s="21" t="n"/>
      <c r="G406" s="21" t="n"/>
      <c r="H406" s="15">
        <f>IF(F406="","",F406-N(G406))</f>
        <v/>
      </c>
      <c r="I406">
        <f>IF(OR(F406="",E406=""),"",MAX(0,Parametros!$B$1-E406))</f>
        <v/>
      </c>
      <c r="J406">
        <f>IF(OR(H406="",I406=""),"",IF(H406&lt;=0,"Pagada",IF(I406=0,"No vencida",IF(I406&lt;=30,"1-30",IF(I406&lt;=60,"31-60",IF(I406&lt;=90,"61-90",IF(I406&lt;=180,"91-180",IF(I406&lt;=360,"181-360","Más de 360"))))))))</f>
        <v/>
      </c>
      <c r="K406" s="14">
        <f>IF(OR(J406="",J406="Pagada"),"",VLOOKUP(J406,Parametros!$A$4:$B$10,2,FALSE))</f>
        <v/>
      </c>
      <c r="L406" s="15">
        <f>IF(K406="","",H406*K406)</f>
        <v/>
      </c>
    </row>
    <row r="407">
      <c r="A407" s="20" t="n"/>
      <c r="B407" s="20" t="n"/>
      <c r="C407" s="20" t="n"/>
      <c r="D407" s="16" t="n"/>
      <c r="E407" s="16" t="n"/>
      <c r="F407" s="21" t="n"/>
      <c r="G407" s="21" t="n"/>
      <c r="H407" s="15">
        <f>IF(F407="","",F407-N(G407))</f>
        <v/>
      </c>
      <c r="I407">
        <f>IF(OR(F407="",E407=""),"",MAX(0,Parametros!$B$1-E407))</f>
        <v/>
      </c>
      <c r="J407">
        <f>IF(OR(H407="",I407=""),"",IF(H407&lt;=0,"Pagada",IF(I407=0,"No vencida",IF(I407&lt;=30,"1-30",IF(I407&lt;=60,"31-60",IF(I407&lt;=90,"61-90",IF(I407&lt;=180,"91-180",IF(I407&lt;=360,"181-360","Más de 360"))))))))</f>
        <v/>
      </c>
      <c r="K407" s="14">
        <f>IF(OR(J407="",J407="Pagada"),"",VLOOKUP(J407,Parametros!$A$4:$B$10,2,FALSE))</f>
        <v/>
      </c>
      <c r="L407" s="15">
        <f>IF(K407="","",H407*K407)</f>
        <v/>
      </c>
    </row>
    <row r="408">
      <c r="A408" s="20" t="n"/>
      <c r="B408" s="20" t="n"/>
      <c r="C408" s="20" t="n"/>
      <c r="D408" s="16" t="n"/>
      <c r="E408" s="16" t="n"/>
      <c r="F408" s="21" t="n"/>
      <c r="G408" s="21" t="n"/>
      <c r="H408" s="15">
        <f>IF(F408="","",F408-N(G408))</f>
        <v/>
      </c>
      <c r="I408">
        <f>IF(OR(F408="",E408=""),"",MAX(0,Parametros!$B$1-E408))</f>
        <v/>
      </c>
      <c r="J408">
        <f>IF(OR(H408="",I408=""),"",IF(H408&lt;=0,"Pagada",IF(I408=0,"No vencida",IF(I408&lt;=30,"1-30",IF(I408&lt;=60,"31-60",IF(I408&lt;=90,"61-90",IF(I408&lt;=180,"91-180",IF(I408&lt;=360,"181-360","Más de 360"))))))))</f>
        <v/>
      </c>
      <c r="K408" s="14">
        <f>IF(OR(J408="",J408="Pagada"),"",VLOOKUP(J408,Parametros!$A$4:$B$10,2,FALSE))</f>
        <v/>
      </c>
      <c r="L408" s="15">
        <f>IF(K408="","",H408*K408)</f>
        <v/>
      </c>
    </row>
    <row r="409">
      <c r="A409" s="20" t="n"/>
      <c r="B409" s="20" t="n"/>
      <c r="C409" s="20" t="n"/>
      <c r="D409" s="16" t="n"/>
      <c r="E409" s="16" t="n"/>
      <c r="F409" s="21" t="n"/>
      <c r="G409" s="21" t="n"/>
      <c r="H409" s="15">
        <f>IF(F409="","",F409-N(G409))</f>
        <v/>
      </c>
      <c r="I409">
        <f>IF(OR(F409="",E409=""),"",MAX(0,Parametros!$B$1-E409))</f>
        <v/>
      </c>
      <c r="J409">
        <f>IF(OR(H409="",I409=""),"",IF(H409&lt;=0,"Pagada",IF(I409=0,"No vencida",IF(I409&lt;=30,"1-30",IF(I409&lt;=60,"31-60",IF(I409&lt;=90,"61-90",IF(I409&lt;=180,"91-180",IF(I409&lt;=360,"181-360","Más de 360"))))))))</f>
        <v/>
      </c>
      <c r="K409" s="14">
        <f>IF(OR(J409="",J409="Pagada"),"",VLOOKUP(J409,Parametros!$A$4:$B$10,2,FALSE))</f>
        <v/>
      </c>
      <c r="L409" s="15">
        <f>IF(K409="","",H409*K409)</f>
        <v/>
      </c>
    </row>
    <row r="410">
      <c r="A410" s="20" t="n"/>
      <c r="B410" s="20" t="n"/>
      <c r="C410" s="20" t="n"/>
      <c r="D410" s="16" t="n"/>
      <c r="E410" s="16" t="n"/>
      <c r="F410" s="21" t="n"/>
      <c r="G410" s="21" t="n"/>
      <c r="H410" s="15">
        <f>IF(F410="","",F410-N(G410))</f>
        <v/>
      </c>
      <c r="I410">
        <f>IF(OR(F410="",E410=""),"",MAX(0,Parametros!$B$1-E410))</f>
        <v/>
      </c>
      <c r="J410">
        <f>IF(OR(H410="",I410=""),"",IF(H410&lt;=0,"Pagada",IF(I410=0,"No vencida",IF(I410&lt;=30,"1-30",IF(I410&lt;=60,"31-60",IF(I410&lt;=90,"61-90",IF(I410&lt;=180,"91-180",IF(I410&lt;=360,"181-360","Más de 360"))))))))</f>
        <v/>
      </c>
      <c r="K410" s="14">
        <f>IF(OR(J410="",J410="Pagada"),"",VLOOKUP(J410,Parametros!$A$4:$B$10,2,FALSE))</f>
        <v/>
      </c>
      <c r="L410" s="15">
        <f>IF(K410="","",H410*K410)</f>
        <v/>
      </c>
    </row>
    <row r="411">
      <c r="A411" s="20" t="n"/>
      <c r="B411" s="20" t="n"/>
      <c r="C411" s="20" t="n"/>
      <c r="D411" s="16" t="n"/>
      <c r="E411" s="16" t="n"/>
      <c r="F411" s="21" t="n"/>
      <c r="G411" s="21" t="n"/>
      <c r="H411" s="15">
        <f>IF(F411="","",F411-N(G411))</f>
        <v/>
      </c>
      <c r="I411">
        <f>IF(OR(F411="",E411=""),"",MAX(0,Parametros!$B$1-E411))</f>
        <v/>
      </c>
      <c r="J411">
        <f>IF(OR(H411="",I411=""),"",IF(H411&lt;=0,"Pagada",IF(I411=0,"No vencida",IF(I411&lt;=30,"1-30",IF(I411&lt;=60,"31-60",IF(I411&lt;=90,"61-90",IF(I411&lt;=180,"91-180",IF(I411&lt;=360,"181-360","Más de 360"))))))))</f>
        <v/>
      </c>
      <c r="K411" s="14">
        <f>IF(OR(J411="",J411="Pagada"),"",VLOOKUP(J411,Parametros!$A$4:$B$10,2,FALSE))</f>
        <v/>
      </c>
      <c r="L411" s="15">
        <f>IF(K411="","",H411*K411)</f>
        <v/>
      </c>
    </row>
    <row r="412">
      <c r="A412" s="20" t="n"/>
      <c r="B412" s="20" t="n"/>
      <c r="C412" s="20" t="n"/>
      <c r="D412" s="16" t="n"/>
      <c r="E412" s="16" t="n"/>
      <c r="F412" s="21" t="n"/>
      <c r="G412" s="21" t="n"/>
      <c r="H412" s="15">
        <f>IF(F412="","",F412-N(G412))</f>
        <v/>
      </c>
      <c r="I412">
        <f>IF(OR(F412="",E412=""),"",MAX(0,Parametros!$B$1-E412))</f>
        <v/>
      </c>
      <c r="J412">
        <f>IF(OR(H412="",I412=""),"",IF(H412&lt;=0,"Pagada",IF(I412=0,"No vencida",IF(I412&lt;=30,"1-30",IF(I412&lt;=60,"31-60",IF(I412&lt;=90,"61-90",IF(I412&lt;=180,"91-180",IF(I412&lt;=360,"181-360","Más de 360"))))))))</f>
        <v/>
      </c>
      <c r="K412" s="14">
        <f>IF(OR(J412="",J412="Pagada"),"",VLOOKUP(J412,Parametros!$A$4:$B$10,2,FALSE))</f>
        <v/>
      </c>
      <c r="L412" s="15">
        <f>IF(K412="","",H412*K412)</f>
        <v/>
      </c>
    </row>
    <row r="413">
      <c r="A413" s="20" t="n"/>
      <c r="B413" s="20" t="n"/>
      <c r="C413" s="20" t="n"/>
      <c r="D413" s="16" t="n"/>
      <c r="E413" s="16" t="n"/>
      <c r="F413" s="21" t="n"/>
      <c r="G413" s="21" t="n"/>
      <c r="H413" s="15">
        <f>IF(F413="","",F413-N(G413))</f>
        <v/>
      </c>
      <c r="I413">
        <f>IF(OR(F413="",E413=""),"",MAX(0,Parametros!$B$1-E413))</f>
        <v/>
      </c>
      <c r="J413">
        <f>IF(OR(H413="",I413=""),"",IF(H413&lt;=0,"Pagada",IF(I413=0,"No vencida",IF(I413&lt;=30,"1-30",IF(I413&lt;=60,"31-60",IF(I413&lt;=90,"61-90",IF(I413&lt;=180,"91-180",IF(I413&lt;=360,"181-360","Más de 360"))))))))</f>
        <v/>
      </c>
      <c r="K413" s="14">
        <f>IF(OR(J413="",J413="Pagada"),"",VLOOKUP(J413,Parametros!$A$4:$B$10,2,FALSE))</f>
        <v/>
      </c>
      <c r="L413" s="15">
        <f>IF(K413="","",H413*K413)</f>
        <v/>
      </c>
    </row>
    <row r="414">
      <c r="A414" s="20" t="n"/>
      <c r="B414" s="20" t="n"/>
      <c r="C414" s="20" t="n"/>
      <c r="D414" s="16" t="n"/>
      <c r="E414" s="16" t="n"/>
      <c r="F414" s="21" t="n"/>
      <c r="G414" s="21" t="n"/>
      <c r="H414" s="15">
        <f>IF(F414="","",F414-N(G414))</f>
        <v/>
      </c>
      <c r="I414">
        <f>IF(OR(F414="",E414=""),"",MAX(0,Parametros!$B$1-E414))</f>
        <v/>
      </c>
      <c r="J414">
        <f>IF(OR(H414="",I414=""),"",IF(H414&lt;=0,"Pagada",IF(I414=0,"No vencida",IF(I414&lt;=30,"1-30",IF(I414&lt;=60,"31-60",IF(I414&lt;=90,"61-90",IF(I414&lt;=180,"91-180",IF(I414&lt;=360,"181-360","Más de 360"))))))))</f>
        <v/>
      </c>
      <c r="K414" s="14">
        <f>IF(OR(J414="",J414="Pagada"),"",VLOOKUP(J414,Parametros!$A$4:$B$10,2,FALSE))</f>
        <v/>
      </c>
      <c r="L414" s="15">
        <f>IF(K414="","",H414*K414)</f>
        <v/>
      </c>
    </row>
    <row r="415">
      <c r="A415" s="20" t="n"/>
      <c r="B415" s="20" t="n"/>
      <c r="C415" s="20" t="n"/>
      <c r="D415" s="16" t="n"/>
      <c r="E415" s="16" t="n"/>
      <c r="F415" s="21" t="n"/>
      <c r="G415" s="21" t="n"/>
      <c r="H415" s="15">
        <f>IF(F415="","",F415-N(G415))</f>
        <v/>
      </c>
      <c r="I415">
        <f>IF(OR(F415="",E415=""),"",MAX(0,Parametros!$B$1-E415))</f>
        <v/>
      </c>
      <c r="J415">
        <f>IF(OR(H415="",I415=""),"",IF(H415&lt;=0,"Pagada",IF(I415=0,"No vencida",IF(I415&lt;=30,"1-30",IF(I415&lt;=60,"31-60",IF(I415&lt;=90,"61-90",IF(I415&lt;=180,"91-180",IF(I415&lt;=360,"181-360","Más de 360"))))))))</f>
        <v/>
      </c>
      <c r="K415" s="14">
        <f>IF(OR(J415="",J415="Pagada"),"",VLOOKUP(J415,Parametros!$A$4:$B$10,2,FALSE))</f>
        <v/>
      </c>
      <c r="L415" s="15">
        <f>IF(K415="","",H415*K415)</f>
        <v/>
      </c>
    </row>
    <row r="416">
      <c r="A416" s="20" t="n"/>
      <c r="B416" s="20" t="n"/>
      <c r="C416" s="20" t="n"/>
      <c r="D416" s="16" t="n"/>
      <c r="E416" s="16" t="n"/>
      <c r="F416" s="21" t="n"/>
      <c r="G416" s="21" t="n"/>
      <c r="H416" s="15">
        <f>IF(F416="","",F416-N(G416))</f>
        <v/>
      </c>
      <c r="I416">
        <f>IF(OR(F416="",E416=""),"",MAX(0,Parametros!$B$1-E416))</f>
        <v/>
      </c>
      <c r="J416">
        <f>IF(OR(H416="",I416=""),"",IF(H416&lt;=0,"Pagada",IF(I416=0,"No vencida",IF(I416&lt;=30,"1-30",IF(I416&lt;=60,"31-60",IF(I416&lt;=90,"61-90",IF(I416&lt;=180,"91-180",IF(I416&lt;=360,"181-360","Más de 360"))))))))</f>
        <v/>
      </c>
      <c r="K416" s="14">
        <f>IF(OR(J416="",J416="Pagada"),"",VLOOKUP(J416,Parametros!$A$4:$B$10,2,FALSE))</f>
        <v/>
      </c>
      <c r="L416" s="15">
        <f>IF(K416="","",H416*K416)</f>
        <v/>
      </c>
    </row>
    <row r="417">
      <c r="A417" s="20" t="n"/>
      <c r="B417" s="20" t="n"/>
      <c r="C417" s="20" t="n"/>
      <c r="D417" s="16" t="n"/>
      <c r="E417" s="16" t="n"/>
      <c r="F417" s="21" t="n"/>
      <c r="G417" s="21" t="n"/>
      <c r="H417" s="15">
        <f>IF(F417="","",F417-N(G417))</f>
        <v/>
      </c>
      <c r="I417">
        <f>IF(OR(F417="",E417=""),"",MAX(0,Parametros!$B$1-E417))</f>
        <v/>
      </c>
      <c r="J417">
        <f>IF(OR(H417="",I417=""),"",IF(H417&lt;=0,"Pagada",IF(I417=0,"No vencida",IF(I417&lt;=30,"1-30",IF(I417&lt;=60,"31-60",IF(I417&lt;=90,"61-90",IF(I417&lt;=180,"91-180",IF(I417&lt;=360,"181-360","Más de 360"))))))))</f>
        <v/>
      </c>
      <c r="K417" s="14">
        <f>IF(OR(J417="",J417="Pagada"),"",VLOOKUP(J417,Parametros!$A$4:$B$10,2,FALSE))</f>
        <v/>
      </c>
      <c r="L417" s="15">
        <f>IF(K417="","",H417*K417)</f>
        <v/>
      </c>
    </row>
    <row r="418">
      <c r="A418" s="20" t="n"/>
      <c r="B418" s="20" t="n"/>
      <c r="C418" s="20" t="n"/>
      <c r="D418" s="16" t="n"/>
      <c r="E418" s="16" t="n"/>
      <c r="F418" s="21" t="n"/>
      <c r="G418" s="21" t="n"/>
      <c r="H418" s="15">
        <f>IF(F418="","",F418-N(G418))</f>
        <v/>
      </c>
      <c r="I418">
        <f>IF(OR(F418="",E418=""),"",MAX(0,Parametros!$B$1-E418))</f>
        <v/>
      </c>
      <c r="J418">
        <f>IF(OR(H418="",I418=""),"",IF(H418&lt;=0,"Pagada",IF(I418=0,"No vencida",IF(I418&lt;=30,"1-30",IF(I418&lt;=60,"31-60",IF(I418&lt;=90,"61-90",IF(I418&lt;=180,"91-180",IF(I418&lt;=360,"181-360","Más de 360"))))))))</f>
        <v/>
      </c>
      <c r="K418" s="14">
        <f>IF(OR(J418="",J418="Pagada"),"",VLOOKUP(J418,Parametros!$A$4:$B$10,2,FALSE))</f>
        <v/>
      </c>
      <c r="L418" s="15">
        <f>IF(K418="","",H418*K418)</f>
        <v/>
      </c>
    </row>
    <row r="419">
      <c r="A419" s="20" t="n"/>
      <c r="B419" s="20" t="n"/>
      <c r="C419" s="20" t="n"/>
      <c r="D419" s="16" t="n"/>
      <c r="E419" s="16" t="n"/>
      <c r="F419" s="21" t="n"/>
      <c r="G419" s="21" t="n"/>
      <c r="H419" s="15">
        <f>IF(F419="","",F419-N(G419))</f>
        <v/>
      </c>
      <c r="I419">
        <f>IF(OR(F419="",E419=""),"",MAX(0,Parametros!$B$1-E419))</f>
        <v/>
      </c>
      <c r="J419">
        <f>IF(OR(H419="",I419=""),"",IF(H419&lt;=0,"Pagada",IF(I419=0,"No vencida",IF(I419&lt;=30,"1-30",IF(I419&lt;=60,"31-60",IF(I419&lt;=90,"61-90",IF(I419&lt;=180,"91-180",IF(I419&lt;=360,"181-360","Más de 360"))))))))</f>
        <v/>
      </c>
      <c r="K419" s="14">
        <f>IF(OR(J419="",J419="Pagada"),"",VLOOKUP(J419,Parametros!$A$4:$B$10,2,FALSE))</f>
        <v/>
      </c>
      <c r="L419" s="15">
        <f>IF(K419="","",H419*K419)</f>
        <v/>
      </c>
    </row>
    <row r="420">
      <c r="A420" s="20" t="n"/>
      <c r="B420" s="20" t="n"/>
      <c r="C420" s="20" t="n"/>
      <c r="D420" s="16" t="n"/>
      <c r="E420" s="16" t="n"/>
      <c r="F420" s="21" t="n"/>
      <c r="G420" s="21" t="n"/>
      <c r="H420" s="15">
        <f>IF(F420="","",F420-N(G420))</f>
        <v/>
      </c>
      <c r="I420">
        <f>IF(OR(F420="",E420=""),"",MAX(0,Parametros!$B$1-E420))</f>
        <v/>
      </c>
      <c r="J420">
        <f>IF(OR(H420="",I420=""),"",IF(H420&lt;=0,"Pagada",IF(I420=0,"No vencida",IF(I420&lt;=30,"1-30",IF(I420&lt;=60,"31-60",IF(I420&lt;=90,"61-90",IF(I420&lt;=180,"91-180",IF(I420&lt;=360,"181-360","Más de 360"))))))))</f>
        <v/>
      </c>
      <c r="K420" s="14">
        <f>IF(OR(J420="",J420="Pagada"),"",VLOOKUP(J420,Parametros!$A$4:$B$10,2,FALSE))</f>
        <v/>
      </c>
      <c r="L420" s="15">
        <f>IF(K420="","",H420*K420)</f>
        <v/>
      </c>
    </row>
    <row r="421">
      <c r="A421" s="20" t="n"/>
      <c r="B421" s="20" t="n"/>
      <c r="C421" s="20" t="n"/>
      <c r="D421" s="16" t="n"/>
      <c r="E421" s="16" t="n"/>
      <c r="F421" s="21" t="n"/>
      <c r="G421" s="21" t="n"/>
      <c r="H421" s="15">
        <f>IF(F421="","",F421-N(G421))</f>
        <v/>
      </c>
      <c r="I421">
        <f>IF(OR(F421="",E421=""),"",MAX(0,Parametros!$B$1-E421))</f>
        <v/>
      </c>
      <c r="J421">
        <f>IF(OR(H421="",I421=""),"",IF(H421&lt;=0,"Pagada",IF(I421=0,"No vencida",IF(I421&lt;=30,"1-30",IF(I421&lt;=60,"31-60",IF(I421&lt;=90,"61-90",IF(I421&lt;=180,"91-180",IF(I421&lt;=360,"181-360","Más de 360"))))))))</f>
        <v/>
      </c>
      <c r="K421" s="14">
        <f>IF(OR(J421="",J421="Pagada"),"",VLOOKUP(J421,Parametros!$A$4:$B$10,2,FALSE))</f>
        <v/>
      </c>
      <c r="L421" s="15">
        <f>IF(K421="","",H421*K421)</f>
        <v/>
      </c>
    </row>
    <row r="422">
      <c r="A422" s="20" t="n"/>
      <c r="B422" s="20" t="n"/>
      <c r="C422" s="20" t="n"/>
      <c r="D422" s="16" t="n"/>
      <c r="E422" s="16" t="n"/>
      <c r="F422" s="21" t="n"/>
      <c r="G422" s="21" t="n"/>
      <c r="H422" s="15">
        <f>IF(F422="","",F422-N(G422))</f>
        <v/>
      </c>
      <c r="I422">
        <f>IF(OR(F422="",E422=""),"",MAX(0,Parametros!$B$1-E422))</f>
        <v/>
      </c>
      <c r="J422">
        <f>IF(OR(H422="",I422=""),"",IF(H422&lt;=0,"Pagada",IF(I422=0,"No vencida",IF(I422&lt;=30,"1-30",IF(I422&lt;=60,"31-60",IF(I422&lt;=90,"61-90",IF(I422&lt;=180,"91-180",IF(I422&lt;=360,"181-360","Más de 360"))))))))</f>
        <v/>
      </c>
      <c r="K422" s="14">
        <f>IF(OR(J422="",J422="Pagada"),"",VLOOKUP(J422,Parametros!$A$4:$B$10,2,FALSE))</f>
        <v/>
      </c>
      <c r="L422" s="15">
        <f>IF(K422="","",H422*K422)</f>
        <v/>
      </c>
    </row>
    <row r="423">
      <c r="A423" s="20" t="n"/>
      <c r="B423" s="20" t="n"/>
      <c r="C423" s="20" t="n"/>
      <c r="D423" s="16" t="n"/>
      <c r="E423" s="16" t="n"/>
      <c r="F423" s="21" t="n"/>
      <c r="G423" s="21" t="n"/>
      <c r="H423" s="15">
        <f>IF(F423="","",F423-N(G423))</f>
        <v/>
      </c>
      <c r="I423">
        <f>IF(OR(F423="",E423=""),"",MAX(0,Parametros!$B$1-E423))</f>
        <v/>
      </c>
      <c r="J423">
        <f>IF(OR(H423="",I423=""),"",IF(H423&lt;=0,"Pagada",IF(I423=0,"No vencida",IF(I423&lt;=30,"1-30",IF(I423&lt;=60,"31-60",IF(I423&lt;=90,"61-90",IF(I423&lt;=180,"91-180",IF(I423&lt;=360,"181-360","Más de 360"))))))))</f>
        <v/>
      </c>
      <c r="K423" s="14">
        <f>IF(OR(J423="",J423="Pagada"),"",VLOOKUP(J423,Parametros!$A$4:$B$10,2,FALSE))</f>
        <v/>
      </c>
      <c r="L423" s="15">
        <f>IF(K423="","",H423*K423)</f>
        <v/>
      </c>
    </row>
    <row r="424">
      <c r="A424" s="20" t="n"/>
      <c r="B424" s="20" t="n"/>
      <c r="C424" s="20" t="n"/>
      <c r="D424" s="16" t="n"/>
      <c r="E424" s="16" t="n"/>
      <c r="F424" s="21" t="n"/>
      <c r="G424" s="21" t="n"/>
      <c r="H424" s="15">
        <f>IF(F424="","",F424-N(G424))</f>
        <v/>
      </c>
      <c r="I424">
        <f>IF(OR(F424="",E424=""),"",MAX(0,Parametros!$B$1-E424))</f>
        <v/>
      </c>
      <c r="J424">
        <f>IF(OR(H424="",I424=""),"",IF(H424&lt;=0,"Pagada",IF(I424=0,"No vencida",IF(I424&lt;=30,"1-30",IF(I424&lt;=60,"31-60",IF(I424&lt;=90,"61-90",IF(I424&lt;=180,"91-180",IF(I424&lt;=360,"181-360","Más de 360"))))))))</f>
        <v/>
      </c>
      <c r="K424" s="14">
        <f>IF(OR(J424="",J424="Pagada"),"",VLOOKUP(J424,Parametros!$A$4:$B$10,2,FALSE))</f>
        <v/>
      </c>
      <c r="L424" s="15">
        <f>IF(K424="","",H424*K424)</f>
        <v/>
      </c>
    </row>
    <row r="425">
      <c r="A425" s="20" t="n"/>
      <c r="B425" s="20" t="n"/>
      <c r="C425" s="20" t="n"/>
      <c r="D425" s="16" t="n"/>
      <c r="E425" s="16" t="n"/>
      <c r="F425" s="21" t="n"/>
      <c r="G425" s="21" t="n"/>
      <c r="H425" s="15">
        <f>IF(F425="","",F425-N(G425))</f>
        <v/>
      </c>
      <c r="I425">
        <f>IF(OR(F425="",E425=""),"",MAX(0,Parametros!$B$1-E425))</f>
        <v/>
      </c>
      <c r="J425">
        <f>IF(OR(H425="",I425=""),"",IF(H425&lt;=0,"Pagada",IF(I425=0,"No vencida",IF(I425&lt;=30,"1-30",IF(I425&lt;=60,"31-60",IF(I425&lt;=90,"61-90",IF(I425&lt;=180,"91-180",IF(I425&lt;=360,"181-360","Más de 360"))))))))</f>
        <v/>
      </c>
      <c r="K425" s="14">
        <f>IF(OR(J425="",J425="Pagada"),"",VLOOKUP(J425,Parametros!$A$4:$B$10,2,FALSE))</f>
        <v/>
      </c>
      <c r="L425" s="15">
        <f>IF(K425="","",H425*K425)</f>
        <v/>
      </c>
    </row>
    <row r="426">
      <c r="A426" s="20" t="n"/>
      <c r="B426" s="20" t="n"/>
      <c r="C426" s="20" t="n"/>
      <c r="D426" s="16" t="n"/>
      <c r="E426" s="16" t="n"/>
      <c r="F426" s="21" t="n"/>
      <c r="G426" s="21" t="n"/>
      <c r="H426" s="15">
        <f>IF(F426="","",F426-N(G426))</f>
        <v/>
      </c>
      <c r="I426">
        <f>IF(OR(F426="",E426=""),"",MAX(0,Parametros!$B$1-E426))</f>
        <v/>
      </c>
      <c r="J426">
        <f>IF(OR(H426="",I426=""),"",IF(H426&lt;=0,"Pagada",IF(I426=0,"No vencida",IF(I426&lt;=30,"1-30",IF(I426&lt;=60,"31-60",IF(I426&lt;=90,"61-90",IF(I426&lt;=180,"91-180",IF(I426&lt;=360,"181-360","Más de 360"))))))))</f>
        <v/>
      </c>
      <c r="K426" s="14">
        <f>IF(OR(J426="",J426="Pagada"),"",VLOOKUP(J426,Parametros!$A$4:$B$10,2,FALSE))</f>
        <v/>
      </c>
      <c r="L426" s="15">
        <f>IF(K426="","",H426*K426)</f>
        <v/>
      </c>
    </row>
    <row r="427">
      <c r="A427" s="20" t="n"/>
      <c r="B427" s="20" t="n"/>
      <c r="C427" s="20" t="n"/>
      <c r="D427" s="16" t="n"/>
      <c r="E427" s="16" t="n"/>
      <c r="F427" s="21" t="n"/>
      <c r="G427" s="21" t="n"/>
      <c r="H427" s="15">
        <f>IF(F427="","",F427-N(G427))</f>
        <v/>
      </c>
      <c r="I427">
        <f>IF(OR(F427="",E427=""),"",MAX(0,Parametros!$B$1-E427))</f>
        <v/>
      </c>
      <c r="J427">
        <f>IF(OR(H427="",I427=""),"",IF(H427&lt;=0,"Pagada",IF(I427=0,"No vencida",IF(I427&lt;=30,"1-30",IF(I427&lt;=60,"31-60",IF(I427&lt;=90,"61-90",IF(I427&lt;=180,"91-180",IF(I427&lt;=360,"181-360","Más de 360"))))))))</f>
        <v/>
      </c>
      <c r="K427" s="14">
        <f>IF(OR(J427="",J427="Pagada"),"",VLOOKUP(J427,Parametros!$A$4:$B$10,2,FALSE))</f>
        <v/>
      </c>
      <c r="L427" s="15">
        <f>IF(K427="","",H427*K427)</f>
        <v/>
      </c>
    </row>
    <row r="428">
      <c r="A428" s="20" t="n"/>
      <c r="B428" s="20" t="n"/>
      <c r="C428" s="20" t="n"/>
      <c r="D428" s="16" t="n"/>
      <c r="E428" s="16" t="n"/>
      <c r="F428" s="21" t="n"/>
      <c r="G428" s="21" t="n"/>
      <c r="H428" s="15">
        <f>IF(F428="","",F428-N(G428))</f>
        <v/>
      </c>
      <c r="I428">
        <f>IF(OR(F428="",E428=""),"",MAX(0,Parametros!$B$1-E428))</f>
        <v/>
      </c>
      <c r="J428">
        <f>IF(OR(H428="",I428=""),"",IF(H428&lt;=0,"Pagada",IF(I428=0,"No vencida",IF(I428&lt;=30,"1-30",IF(I428&lt;=60,"31-60",IF(I428&lt;=90,"61-90",IF(I428&lt;=180,"91-180",IF(I428&lt;=360,"181-360","Más de 360"))))))))</f>
        <v/>
      </c>
      <c r="K428" s="14">
        <f>IF(OR(J428="",J428="Pagada"),"",VLOOKUP(J428,Parametros!$A$4:$B$10,2,FALSE))</f>
        <v/>
      </c>
      <c r="L428" s="15">
        <f>IF(K428="","",H428*K428)</f>
        <v/>
      </c>
    </row>
    <row r="429">
      <c r="A429" s="20" t="n"/>
      <c r="B429" s="20" t="n"/>
      <c r="C429" s="20" t="n"/>
      <c r="D429" s="16" t="n"/>
      <c r="E429" s="16" t="n"/>
      <c r="F429" s="21" t="n"/>
      <c r="G429" s="21" t="n"/>
      <c r="H429" s="15">
        <f>IF(F429="","",F429-N(G429))</f>
        <v/>
      </c>
      <c r="I429">
        <f>IF(OR(F429="",E429=""),"",MAX(0,Parametros!$B$1-E429))</f>
        <v/>
      </c>
      <c r="J429">
        <f>IF(OR(H429="",I429=""),"",IF(H429&lt;=0,"Pagada",IF(I429=0,"No vencida",IF(I429&lt;=30,"1-30",IF(I429&lt;=60,"31-60",IF(I429&lt;=90,"61-90",IF(I429&lt;=180,"91-180",IF(I429&lt;=360,"181-360","Más de 360"))))))))</f>
        <v/>
      </c>
      <c r="K429" s="14">
        <f>IF(OR(J429="",J429="Pagada"),"",VLOOKUP(J429,Parametros!$A$4:$B$10,2,FALSE))</f>
        <v/>
      </c>
      <c r="L429" s="15">
        <f>IF(K429="","",H429*K429)</f>
        <v/>
      </c>
    </row>
    <row r="430">
      <c r="A430" s="20" t="n"/>
      <c r="B430" s="20" t="n"/>
      <c r="C430" s="20" t="n"/>
      <c r="D430" s="16" t="n"/>
      <c r="E430" s="16" t="n"/>
      <c r="F430" s="21" t="n"/>
      <c r="G430" s="21" t="n"/>
      <c r="H430" s="15">
        <f>IF(F430="","",F430-N(G430))</f>
        <v/>
      </c>
      <c r="I430">
        <f>IF(OR(F430="",E430=""),"",MAX(0,Parametros!$B$1-E430))</f>
        <v/>
      </c>
      <c r="J430">
        <f>IF(OR(H430="",I430=""),"",IF(H430&lt;=0,"Pagada",IF(I430=0,"No vencida",IF(I430&lt;=30,"1-30",IF(I430&lt;=60,"31-60",IF(I430&lt;=90,"61-90",IF(I430&lt;=180,"91-180",IF(I430&lt;=360,"181-360","Más de 360"))))))))</f>
        <v/>
      </c>
      <c r="K430" s="14">
        <f>IF(OR(J430="",J430="Pagada"),"",VLOOKUP(J430,Parametros!$A$4:$B$10,2,FALSE))</f>
        <v/>
      </c>
      <c r="L430" s="15">
        <f>IF(K430="","",H430*K430)</f>
        <v/>
      </c>
    </row>
    <row r="431">
      <c r="A431" s="20" t="n"/>
      <c r="B431" s="20" t="n"/>
      <c r="C431" s="20" t="n"/>
      <c r="D431" s="16" t="n"/>
      <c r="E431" s="16" t="n"/>
      <c r="F431" s="21" t="n"/>
      <c r="G431" s="21" t="n"/>
      <c r="H431" s="15">
        <f>IF(F431="","",F431-N(G431))</f>
        <v/>
      </c>
      <c r="I431">
        <f>IF(OR(F431="",E431=""),"",MAX(0,Parametros!$B$1-E431))</f>
        <v/>
      </c>
      <c r="J431">
        <f>IF(OR(H431="",I431=""),"",IF(H431&lt;=0,"Pagada",IF(I431=0,"No vencida",IF(I431&lt;=30,"1-30",IF(I431&lt;=60,"31-60",IF(I431&lt;=90,"61-90",IF(I431&lt;=180,"91-180",IF(I431&lt;=360,"181-360","Más de 360"))))))))</f>
        <v/>
      </c>
      <c r="K431" s="14">
        <f>IF(OR(J431="",J431="Pagada"),"",VLOOKUP(J431,Parametros!$A$4:$B$10,2,FALSE))</f>
        <v/>
      </c>
      <c r="L431" s="15">
        <f>IF(K431="","",H431*K431)</f>
        <v/>
      </c>
    </row>
    <row r="432">
      <c r="A432" s="20" t="n"/>
      <c r="B432" s="20" t="n"/>
      <c r="C432" s="20" t="n"/>
      <c r="D432" s="16" t="n"/>
      <c r="E432" s="16" t="n"/>
      <c r="F432" s="21" t="n"/>
      <c r="G432" s="21" t="n"/>
      <c r="H432" s="15">
        <f>IF(F432="","",F432-N(G432))</f>
        <v/>
      </c>
      <c r="I432">
        <f>IF(OR(F432="",E432=""),"",MAX(0,Parametros!$B$1-E432))</f>
        <v/>
      </c>
      <c r="J432">
        <f>IF(OR(H432="",I432=""),"",IF(H432&lt;=0,"Pagada",IF(I432=0,"No vencida",IF(I432&lt;=30,"1-30",IF(I432&lt;=60,"31-60",IF(I432&lt;=90,"61-90",IF(I432&lt;=180,"91-180",IF(I432&lt;=360,"181-360","Más de 360"))))))))</f>
        <v/>
      </c>
      <c r="K432" s="14">
        <f>IF(OR(J432="",J432="Pagada"),"",VLOOKUP(J432,Parametros!$A$4:$B$10,2,FALSE))</f>
        <v/>
      </c>
      <c r="L432" s="15">
        <f>IF(K432="","",H432*K432)</f>
        <v/>
      </c>
    </row>
    <row r="433">
      <c r="A433" s="20" t="n"/>
      <c r="B433" s="20" t="n"/>
      <c r="C433" s="20" t="n"/>
      <c r="D433" s="16" t="n"/>
      <c r="E433" s="16" t="n"/>
      <c r="F433" s="21" t="n"/>
      <c r="G433" s="21" t="n"/>
      <c r="H433" s="15">
        <f>IF(F433="","",F433-N(G433))</f>
        <v/>
      </c>
      <c r="I433">
        <f>IF(OR(F433="",E433=""),"",MAX(0,Parametros!$B$1-E433))</f>
        <v/>
      </c>
      <c r="J433">
        <f>IF(OR(H433="",I433=""),"",IF(H433&lt;=0,"Pagada",IF(I433=0,"No vencida",IF(I433&lt;=30,"1-30",IF(I433&lt;=60,"31-60",IF(I433&lt;=90,"61-90",IF(I433&lt;=180,"91-180",IF(I433&lt;=360,"181-360","Más de 360"))))))))</f>
        <v/>
      </c>
      <c r="K433" s="14">
        <f>IF(OR(J433="",J433="Pagada"),"",VLOOKUP(J433,Parametros!$A$4:$B$10,2,FALSE))</f>
        <v/>
      </c>
      <c r="L433" s="15">
        <f>IF(K433="","",H433*K433)</f>
        <v/>
      </c>
    </row>
    <row r="434">
      <c r="A434" s="20" t="n"/>
      <c r="B434" s="20" t="n"/>
      <c r="C434" s="20" t="n"/>
      <c r="D434" s="16" t="n"/>
      <c r="E434" s="16" t="n"/>
      <c r="F434" s="21" t="n"/>
      <c r="G434" s="21" t="n"/>
      <c r="H434" s="15">
        <f>IF(F434="","",F434-N(G434))</f>
        <v/>
      </c>
      <c r="I434">
        <f>IF(OR(F434="",E434=""),"",MAX(0,Parametros!$B$1-E434))</f>
        <v/>
      </c>
      <c r="J434">
        <f>IF(OR(H434="",I434=""),"",IF(H434&lt;=0,"Pagada",IF(I434=0,"No vencida",IF(I434&lt;=30,"1-30",IF(I434&lt;=60,"31-60",IF(I434&lt;=90,"61-90",IF(I434&lt;=180,"91-180",IF(I434&lt;=360,"181-360","Más de 360"))))))))</f>
        <v/>
      </c>
      <c r="K434" s="14">
        <f>IF(OR(J434="",J434="Pagada"),"",VLOOKUP(J434,Parametros!$A$4:$B$10,2,FALSE))</f>
        <v/>
      </c>
      <c r="L434" s="15">
        <f>IF(K434="","",H434*K434)</f>
        <v/>
      </c>
    </row>
    <row r="435">
      <c r="A435" s="20" t="n"/>
      <c r="B435" s="20" t="n"/>
      <c r="C435" s="20" t="n"/>
      <c r="D435" s="16" t="n"/>
      <c r="E435" s="16" t="n"/>
      <c r="F435" s="21" t="n"/>
      <c r="G435" s="21" t="n"/>
      <c r="H435" s="15">
        <f>IF(F435="","",F435-N(G435))</f>
        <v/>
      </c>
      <c r="I435">
        <f>IF(OR(F435="",E435=""),"",MAX(0,Parametros!$B$1-E435))</f>
        <v/>
      </c>
      <c r="J435">
        <f>IF(OR(H435="",I435=""),"",IF(H435&lt;=0,"Pagada",IF(I435=0,"No vencida",IF(I435&lt;=30,"1-30",IF(I435&lt;=60,"31-60",IF(I435&lt;=90,"61-90",IF(I435&lt;=180,"91-180",IF(I435&lt;=360,"181-360","Más de 360"))))))))</f>
        <v/>
      </c>
      <c r="K435" s="14">
        <f>IF(OR(J435="",J435="Pagada"),"",VLOOKUP(J435,Parametros!$A$4:$B$10,2,FALSE))</f>
        <v/>
      </c>
      <c r="L435" s="15">
        <f>IF(K435="","",H435*K435)</f>
        <v/>
      </c>
    </row>
    <row r="436">
      <c r="A436" s="20" t="n"/>
      <c r="B436" s="20" t="n"/>
      <c r="C436" s="20" t="n"/>
      <c r="D436" s="16" t="n"/>
      <c r="E436" s="16" t="n"/>
      <c r="F436" s="21" t="n"/>
      <c r="G436" s="21" t="n"/>
      <c r="H436" s="15">
        <f>IF(F436="","",F436-N(G436))</f>
        <v/>
      </c>
      <c r="I436">
        <f>IF(OR(F436="",E436=""),"",MAX(0,Parametros!$B$1-E436))</f>
        <v/>
      </c>
      <c r="J436">
        <f>IF(OR(H436="",I436=""),"",IF(H436&lt;=0,"Pagada",IF(I436=0,"No vencida",IF(I436&lt;=30,"1-30",IF(I436&lt;=60,"31-60",IF(I436&lt;=90,"61-90",IF(I436&lt;=180,"91-180",IF(I436&lt;=360,"181-360","Más de 360"))))))))</f>
        <v/>
      </c>
      <c r="K436" s="14">
        <f>IF(OR(J436="",J436="Pagada"),"",VLOOKUP(J436,Parametros!$A$4:$B$10,2,FALSE))</f>
        <v/>
      </c>
      <c r="L436" s="15">
        <f>IF(K436="","",H436*K436)</f>
        <v/>
      </c>
    </row>
    <row r="437">
      <c r="A437" s="20" t="n"/>
      <c r="B437" s="20" t="n"/>
      <c r="C437" s="20" t="n"/>
      <c r="D437" s="16" t="n"/>
      <c r="E437" s="16" t="n"/>
      <c r="F437" s="21" t="n"/>
      <c r="G437" s="21" t="n"/>
      <c r="H437" s="15">
        <f>IF(F437="","",F437-N(G437))</f>
        <v/>
      </c>
      <c r="I437">
        <f>IF(OR(F437="",E437=""),"",MAX(0,Parametros!$B$1-E437))</f>
        <v/>
      </c>
      <c r="J437">
        <f>IF(OR(H437="",I437=""),"",IF(H437&lt;=0,"Pagada",IF(I437=0,"No vencida",IF(I437&lt;=30,"1-30",IF(I437&lt;=60,"31-60",IF(I437&lt;=90,"61-90",IF(I437&lt;=180,"91-180",IF(I437&lt;=360,"181-360","Más de 360"))))))))</f>
        <v/>
      </c>
      <c r="K437" s="14">
        <f>IF(OR(J437="",J437="Pagada"),"",VLOOKUP(J437,Parametros!$A$4:$B$10,2,FALSE))</f>
        <v/>
      </c>
      <c r="L437" s="15">
        <f>IF(K437="","",H437*K437)</f>
        <v/>
      </c>
    </row>
    <row r="438">
      <c r="A438" s="20" t="n"/>
      <c r="B438" s="20" t="n"/>
      <c r="C438" s="20" t="n"/>
      <c r="D438" s="16" t="n"/>
      <c r="E438" s="16" t="n"/>
      <c r="F438" s="21" t="n"/>
      <c r="G438" s="21" t="n"/>
      <c r="H438" s="15">
        <f>IF(F438="","",F438-N(G438))</f>
        <v/>
      </c>
      <c r="I438">
        <f>IF(OR(F438="",E438=""),"",MAX(0,Parametros!$B$1-E438))</f>
        <v/>
      </c>
      <c r="J438">
        <f>IF(OR(H438="",I438=""),"",IF(H438&lt;=0,"Pagada",IF(I438=0,"No vencida",IF(I438&lt;=30,"1-30",IF(I438&lt;=60,"31-60",IF(I438&lt;=90,"61-90",IF(I438&lt;=180,"91-180",IF(I438&lt;=360,"181-360","Más de 360"))))))))</f>
        <v/>
      </c>
      <c r="K438" s="14">
        <f>IF(OR(J438="",J438="Pagada"),"",VLOOKUP(J438,Parametros!$A$4:$B$10,2,FALSE))</f>
        <v/>
      </c>
      <c r="L438" s="15">
        <f>IF(K438="","",H438*K438)</f>
        <v/>
      </c>
    </row>
    <row r="439">
      <c r="A439" s="20" t="n"/>
      <c r="B439" s="20" t="n"/>
      <c r="C439" s="20" t="n"/>
      <c r="D439" s="16" t="n"/>
      <c r="E439" s="16" t="n"/>
      <c r="F439" s="21" t="n"/>
      <c r="G439" s="21" t="n"/>
      <c r="H439" s="15">
        <f>IF(F439="","",F439-N(G439))</f>
        <v/>
      </c>
      <c r="I439">
        <f>IF(OR(F439="",E439=""),"",MAX(0,Parametros!$B$1-E439))</f>
        <v/>
      </c>
      <c r="J439">
        <f>IF(OR(H439="",I439=""),"",IF(H439&lt;=0,"Pagada",IF(I439=0,"No vencida",IF(I439&lt;=30,"1-30",IF(I439&lt;=60,"31-60",IF(I439&lt;=90,"61-90",IF(I439&lt;=180,"91-180",IF(I439&lt;=360,"181-360","Más de 360"))))))))</f>
        <v/>
      </c>
      <c r="K439" s="14">
        <f>IF(OR(J439="",J439="Pagada"),"",VLOOKUP(J439,Parametros!$A$4:$B$10,2,FALSE))</f>
        <v/>
      </c>
      <c r="L439" s="15">
        <f>IF(K439="","",H439*K439)</f>
        <v/>
      </c>
    </row>
    <row r="440">
      <c r="A440" s="20" t="n"/>
      <c r="B440" s="20" t="n"/>
      <c r="C440" s="20" t="n"/>
      <c r="D440" s="16" t="n"/>
      <c r="E440" s="16" t="n"/>
      <c r="F440" s="21" t="n"/>
      <c r="G440" s="21" t="n"/>
      <c r="H440" s="15">
        <f>IF(F440="","",F440-N(G440))</f>
        <v/>
      </c>
      <c r="I440">
        <f>IF(OR(F440="",E440=""),"",MAX(0,Parametros!$B$1-E440))</f>
        <v/>
      </c>
      <c r="J440">
        <f>IF(OR(H440="",I440=""),"",IF(H440&lt;=0,"Pagada",IF(I440=0,"No vencida",IF(I440&lt;=30,"1-30",IF(I440&lt;=60,"31-60",IF(I440&lt;=90,"61-90",IF(I440&lt;=180,"91-180",IF(I440&lt;=360,"181-360","Más de 360"))))))))</f>
        <v/>
      </c>
      <c r="K440" s="14">
        <f>IF(OR(J440="",J440="Pagada"),"",VLOOKUP(J440,Parametros!$A$4:$B$10,2,FALSE))</f>
        <v/>
      </c>
      <c r="L440" s="15">
        <f>IF(K440="","",H440*K440)</f>
        <v/>
      </c>
    </row>
    <row r="441">
      <c r="A441" s="20" t="n"/>
      <c r="B441" s="20" t="n"/>
      <c r="C441" s="20" t="n"/>
      <c r="D441" s="16" t="n"/>
      <c r="E441" s="16" t="n"/>
      <c r="F441" s="21" t="n"/>
      <c r="G441" s="21" t="n"/>
      <c r="H441" s="15">
        <f>IF(F441="","",F441-N(G441))</f>
        <v/>
      </c>
      <c r="I441">
        <f>IF(OR(F441="",E441=""),"",MAX(0,Parametros!$B$1-E441))</f>
        <v/>
      </c>
      <c r="J441">
        <f>IF(OR(H441="",I441=""),"",IF(H441&lt;=0,"Pagada",IF(I441=0,"No vencida",IF(I441&lt;=30,"1-30",IF(I441&lt;=60,"31-60",IF(I441&lt;=90,"61-90",IF(I441&lt;=180,"91-180",IF(I441&lt;=360,"181-360","Más de 360"))))))))</f>
        <v/>
      </c>
      <c r="K441" s="14">
        <f>IF(OR(J441="",J441="Pagada"),"",VLOOKUP(J441,Parametros!$A$4:$B$10,2,FALSE))</f>
        <v/>
      </c>
      <c r="L441" s="15">
        <f>IF(K441="","",H441*K441)</f>
        <v/>
      </c>
    </row>
    <row r="442">
      <c r="A442" s="20" t="n"/>
      <c r="B442" s="20" t="n"/>
      <c r="C442" s="20" t="n"/>
      <c r="D442" s="16" t="n"/>
      <c r="E442" s="16" t="n"/>
      <c r="F442" s="21" t="n"/>
      <c r="G442" s="21" t="n"/>
      <c r="H442" s="15">
        <f>IF(F442="","",F442-N(G442))</f>
        <v/>
      </c>
      <c r="I442">
        <f>IF(OR(F442="",E442=""),"",MAX(0,Parametros!$B$1-E442))</f>
        <v/>
      </c>
      <c r="J442">
        <f>IF(OR(H442="",I442=""),"",IF(H442&lt;=0,"Pagada",IF(I442=0,"No vencida",IF(I442&lt;=30,"1-30",IF(I442&lt;=60,"31-60",IF(I442&lt;=90,"61-90",IF(I442&lt;=180,"91-180",IF(I442&lt;=360,"181-360","Más de 360"))))))))</f>
        <v/>
      </c>
      <c r="K442" s="14">
        <f>IF(OR(J442="",J442="Pagada"),"",VLOOKUP(J442,Parametros!$A$4:$B$10,2,FALSE))</f>
        <v/>
      </c>
      <c r="L442" s="15">
        <f>IF(K442="","",H442*K442)</f>
        <v/>
      </c>
    </row>
    <row r="443">
      <c r="A443" s="20" t="n"/>
      <c r="B443" s="20" t="n"/>
      <c r="C443" s="20" t="n"/>
      <c r="D443" s="16" t="n"/>
      <c r="E443" s="16" t="n"/>
      <c r="F443" s="21" t="n"/>
      <c r="G443" s="21" t="n"/>
      <c r="H443" s="15">
        <f>IF(F443="","",F443-N(G443))</f>
        <v/>
      </c>
      <c r="I443">
        <f>IF(OR(F443="",E443=""),"",MAX(0,Parametros!$B$1-E443))</f>
        <v/>
      </c>
      <c r="J443">
        <f>IF(OR(H443="",I443=""),"",IF(H443&lt;=0,"Pagada",IF(I443=0,"No vencida",IF(I443&lt;=30,"1-30",IF(I443&lt;=60,"31-60",IF(I443&lt;=90,"61-90",IF(I443&lt;=180,"91-180",IF(I443&lt;=360,"181-360","Más de 360"))))))))</f>
        <v/>
      </c>
      <c r="K443" s="14">
        <f>IF(OR(J443="",J443="Pagada"),"",VLOOKUP(J443,Parametros!$A$4:$B$10,2,FALSE))</f>
        <v/>
      </c>
      <c r="L443" s="15">
        <f>IF(K443="","",H443*K443)</f>
        <v/>
      </c>
    </row>
    <row r="444">
      <c r="A444" s="20" t="n"/>
      <c r="B444" s="20" t="n"/>
      <c r="C444" s="20" t="n"/>
      <c r="D444" s="16" t="n"/>
      <c r="E444" s="16" t="n"/>
      <c r="F444" s="21" t="n"/>
      <c r="G444" s="21" t="n"/>
      <c r="H444" s="15">
        <f>IF(F444="","",F444-N(G444))</f>
        <v/>
      </c>
      <c r="I444">
        <f>IF(OR(F444="",E444=""),"",MAX(0,Parametros!$B$1-E444))</f>
        <v/>
      </c>
      <c r="J444">
        <f>IF(OR(H444="",I444=""),"",IF(H444&lt;=0,"Pagada",IF(I444=0,"No vencida",IF(I444&lt;=30,"1-30",IF(I444&lt;=60,"31-60",IF(I444&lt;=90,"61-90",IF(I444&lt;=180,"91-180",IF(I444&lt;=360,"181-360","Más de 360"))))))))</f>
        <v/>
      </c>
      <c r="K444" s="14">
        <f>IF(OR(J444="",J444="Pagada"),"",VLOOKUP(J444,Parametros!$A$4:$B$10,2,FALSE))</f>
        <v/>
      </c>
      <c r="L444" s="15">
        <f>IF(K444="","",H444*K444)</f>
        <v/>
      </c>
    </row>
    <row r="445">
      <c r="A445" s="20" t="n"/>
      <c r="B445" s="20" t="n"/>
      <c r="C445" s="20" t="n"/>
      <c r="D445" s="16" t="n"/>
      <c r="E445" s="16" t="n"/>
      <c r="F445" s="21" t="n"/>
      <c r="G445" s="21" t="n"/>
      <c r="H445" s="15">
        <f>IF(F445="","",F445-N(G445))</f>
        <v/>
      </c>
      <c r="I445">
        <f>IF(OR(F445="",E445=""),"",MAX(0,Parametros!$B$1-E445))</f>
        <v/>
      </c>
      <c r="J445">
        <f>IF(OR(H445="",I445=""),"",IF(H445&lt;=0,"Pagada",IF(I445=0,"No vencida",IF(I445&lt;=30,"1-30",IF(I445&lt;=60,"31-60",IF(I445&lt;=90,"61-90",IF(I445&lt;=180,"91-180",IF(I445&lt;=360,"181-360","Más de 360"))))))))</f>
        <v/>
      </c>
      <c r="K445" s="14">
        <f>IF(OR(J445="",J445="Pagada"),"",VLOOKUP(J445,Parametros!$A$4:$B$10,2,FALSE))</f>
        <v/>
      </c>
      <c r="L445" s="15">
        <f>IF(K445="","",H445*K445)</f>
        <v/>
      </c>
    </row>
    <row r="446">
      <c r="A446" s="20" t="n"/>
      <c r="B446" s="20" t="n"/>
      <c r="C446" s="20" t="n"/>
      <c r="D446" s="16" t="n"/>
      <c r="E446" s="16" t="n"/>
      <c r="F446" s="21" t="n"/>
      <c r="G446" s="21" t="n"/>
      <c r="H446" s="15">
        <f>IF(F446="","",F446-N(G446))</f>
        <v/>
      </c>
      <c r="I446">
        <f>IF(OR(F446="",E446=""),"",MAX(0,Parametros!$B$1-E446))</f>
        <v/>
      </c>
      <c r="J446">
        <f>IF(OR(H446="",I446=""),"",IF(H446&lt;=0,"Pagada",IF(I446=0,"No vencida",IF(I446&lt;=30,"1-30",IF(I446&lt;=60,"31-60",IF(I446&lt;=90,"61-90",IF(I446&lt;=180,"91-180",IF(I446&lt;=360,"181-360","Más de 360"))))))))</f>
        <v/>
      </c>
      <c r="K446" s="14">
        <f>IF(OR(J446="",J446="Pagada"),"",VLOOKUP(J446,Parametros!$A$4:$B$10,2,FALSE))</f>
        <v/>
      </c>
      <c r="L446" s="15">
        <f>IF(K446="","",H446*K446)</f>
        <v/>
      </c>
    </row>
    <row r="447">
      <c r="A447" s="20" t="n"/>
      <c r="B447" s="20" t="n"/>
      <c r="C447" s="20" t="n"/>
      <c r="D447" s="16" t="n"/>
      <c r="E447" s="16" t="n"/>
      <c r="F447" s="21" t="n"/>
      <c r="G447" s="21" t="n"/>
      <c r="H447" s="15">
        <f>IF(F447="","",F447-N(G447))</f>
        <v/>
      </c>
      <c r="I447">
        <f>IF(OR(F447="",E447=""),"",MAX(0,Parametros!$B$1-E447))</f>
        <v/>
      </c>
      <c r="J447">
        <f>IF(OR(H447="",I447=""),"",IF(H447&lt;=0,"Pagada",IF(I447=0,"No vencida",IF(I447&lt;=30,"1-30",IF(I447&lt;=60,"31-60",IF(I447&lt;=90,"61-90",IF(I447&lt;=180,"91-180",IF(I447&lt;=360,"181-360","Más de 360"))))))))</f>
        <v/>
      </c>
      <c r="K447" s="14">
        <f>IF(OR(J447="",J447="Pagada"),"",VLOOKUP(J447,Parametros!$A$4:$B$10,2,FALSE))</f>
        <v/>
      </c>
      <c r="L447" s="15">
        <f>IF(K447="","",H447*K447)</f>
        <v/>
      </c>
    </row>
    <row r="448">
      <c r="A448" s="20" t="n"/>
      <c r="B448" s="20" t="n"/>
      <c r="C448" s="20" t="n"/>
      <c r="D448" s="16" t="n"/>
      <c r="E448" s="16" t="n"/>
      <c r="F448" s="21" t="n"/>
      <c r="G448" s="21" t="n"/>
      <c r="H448" s="15">
        <f>IF(F448="","",F448-N(G448))</f>
        <v/>
      </c>
      <c r="I448">
        <f>IF(OR(F448="",E448=""),"",MAX(0,Parametros!$B$1-E448))</f>
        <v/>
      </c>
      <c r="J448">
        <f>IF(OR(H448="",I448=""),"",IF(H448&lt;=0,"Pagada",IF(I448=0,"No vencida",IF(I448&lt;=30,"1-30",IF(I448&lt;=60,"31-60",IF(I448&lt;=90,"61-90",IF(I448&lt;=180,"91-180",IF(I448&lt;=360,"181-360","Más de 360"))))))))</f>
        <v/>
      </c>
      <c r="K448" s="14">
        <f>IF(OR(J448="",J448="Pagada"),"",VLOOKUP(J448,Parametros!$A$4:$B$10,2,FALSE))</f>
        <v/>
      </c>
      <c r="L448" s="15">
        <f>IF(K448="","",H448*K448)</f>
        <v/>
      </c>
    </row>
    <row r="449">
      <c r="A449" s="20" t="n"/>
      <c r="B449" s="20" t="n"/>
      <c r="C449" s="20" t="n"/>
      <c r="D449" s="16" t="n"/>
      <c r="E449" s="16" t="n"/>
      <c r="F449" s="21" t="n"/>
      <c r="G449" s="21" t="n"/>
      <c r="H449" s="15">
        <f>IF(F449="","",F449-N(G449))</f>
        <v/>
      </c>
      <c r="I449">
        <f>IF(OR(F449="",E449=""),"",MAX(0,Parametros!$B$1-E449))</f>
        <v/>
      </c>
      <c r="J449">
        <f>IF(OR(H449="",I449=""),"",IF(H449&lt;=0,"Pagada",IF(I449=0,"No vencida",IF(I449&lt;=30,"1-30",IF(I449&lt;=60,"31-60",IF(I449&lt;=90,"61-90",IF(I449&lt;=180,"91-180",IF(I449&lt;=360,"181-360","Más de 360"))))))))</f>
        <v/>
      </c>
      <c r="K449" s="14">
        <f>IF(OR(J449="",J449="Pagada"),"",VLOOKUP(J449,Parametros!$A$4:$B$10,2,FALSE))</f>
        <v/>
      </c>
      <c r="L449" s="15">
        <f>IF(K449="","",H449*K449)</f>
        <v/>
      </c>
    </row>
    <row r="450">
      <c r="A450" s="20" t="n"/>
      <c r="B450" s="20" t="n"/>
      <c r="C450" s="20" t="n"/>
      <c r="D450" s="16" t="n"/>
      <c r="E450" s="16" t="n"/>
      <c r="F450" s="21" t="n"/>
      <c r="G450" s="21" t="n"/>
      <c r="H450" s="15">
        <f>IF(F450="","",F450-N(G450))</f>
        <v/>
      </c>
      <c r="I450">
        <f>IF(OR(F450="",E450=""),"",MAX(0,Parametros!$B$1-E450))</f>
        <v/>
      </c>
      <c r="J450">
        <f>IF(OR(H450="",I450=""),"",IF(H450&lt;=0,"Pagada",IF(I450=0,"No vencida",IF(I450&lt;=30,"1-30",IF(I450&lt;=60,"31-60",IF(I450&lt;=90,"61-90",IF(I450&lt;=180,"91-180",IF(I450&lt;=360,"181-360","Más de 360"))))))))</f>
        <v/>
      </c>
      <c r="K450" s="14">
        <f>IF(OR(J450="",J450="Pagada"),"",VLOOKUP(J450,Parametros!$A$4:$B$10,2,FALSE))</f>
        <v/>
      </c>
      <c r="L450" s="15">
        <f>IF(K450="","",H450*K450)</f>
        <v/>
      </c>
    </row>
    <row r="451">
      <c r="A451" s="20" t="n"/>
      <c r="B451" s="20" t="n"/>
      <c r="C451" s="20" t="n"/>
      <c r="D451" s="16" t="n"/>
      <c r="E451" s="16" t="n"/>
      <c r="F451" s="21" t="n"/>
      <c r="G451" s="21" t="n"/>
      <c r="H451" s="15">
        <f>IF(F451="","",F451-N(G451))</f>
        <v/>
      </c>
      <c r="I451">
        <f>IF(OR(F451="",E451=""),"",MAX(0,Parametros!$B$1-E451))</f>
        <v/>
      </c>
      <c r="J451">
        <f>IF(OR(H451="",I451=""),"",IF(H451&lt;=0,"Pagada",IF(I451=0,"No vencida",IF(I451&lt;=30,"1-30",IF(I451&lt;=60,"31-60",IF(I451&lt;=90,"61-90",IF(I451&lt;=180,"91-180",IF(I451&lt;=360,"181-360","Más de 360"))))))))</f>
        <v/>
      </c>
      <c r="K451" s="14">
        <f>IF(OR(J451="",J451="Pagada"),"",VLOOKUP(J451,Parametros!$A$4:$B$10,2,FALSE))</f>
        <v/>
      </c>
      <c r="L451" s="15">
        <f>IF(K451="","",H451*K451)</f>
        <v/>
      </c>
    </row>
    <row r="452">
      <c r="A452" s="20" t="n"/>
      <c r="B452" s="20" t="n"/>
      <c r="C452" s="20" t="n"/>
      <c r="D452" s="16" t="n"/>
      <c r="E452" s="16" t="n"/>
      <c r="F452" s="21" t="n"/>
      <c r="G452" s="21" t="n"/>
      <c r="H452" s="15">
        <f>IF(F452="","",F452-N(G452))</f>
        <v/>
      </c>
      <c r="I452">
        <f>IF(OR(F452="",E452=""),"",MAX(0,Parametros!$B$1-E452))</f>
        <v/>
      </c>
      <c r="J452">
        <f>IF(OR(H452="",I452=""),"",IF(H452&lt;=0,"Pagada",IF(I452=0,"No vencida",IF(I452&lt;=30,"1-30",IF(I452&lt;=60,"31-60",IF(I452&lt;=90,"61-90",IF(I452&lt;=180,"91-180",IF(I452&lt;=360,"181-360","Más de 360"))))))))</f>
        <v/>
      </c>
      <c r="K452" s="14">
        <f>IF(OR(J452="",J452="Pagada"),"",VLOOKUP(J452,Parametros!$A$4:$B$10,2,FALSE))</f>
        <v/>
      </c>
      <c r="L452" s="15">
        <f>IF(K452="","",H452*K452)</f>
        <v/>
      </c>
    </row>
    <row r="453">
      <c r="A453" s="20" t="n"/>
      <c r="B453" s="20" t="n"/>
      <c r="C453" s="20" t="n"/>
      <c r="D453" s="16" t="n"/>
      <c r="E453" s="16" t="n"/>
      <c r="F453" s="21" t="n"/>
      <c r="G453" s="21" t="n"/>
      <c r="H453" s="15">
        <f>IF(F453="","",F453-N(G453))</f>
        <v/>
      </c>
      <c r="I453">
        <f>IF(OR(F453="",E453=""),"",MAX(0,Parametros!$B$1-E453))</f>
        <v/>
      </c>
      <c r="J453">
        <f>IF(OR(H453="",I453=""),"",IF(H453&lt;=0,"Pagada",IF(I453=0,"No vencida",IF(I453&lt;=30,"1-30",IF(I453&lt;=60,"31-60",IF(I453&lt;=90,"61-90",IF(I453&lt;=180,"91-180",IF(I453&lt;=360,"181-360","Más de 360"))))))))</f>
        <v/>
      </c>
      <c r="K453" s="14">
        <f>IF(OR(J453="",J453="Pagada"),"",VLOOKUP(J453,Parametros!$A$4:$B$10,2,FALSE))</f>
        <v/>
      </c>
      <c r="L453" s="15">
        <f>IF(K453="","",H453*K453)</f>
        <v/>
      </c>
    </row>
    <row r="454">
      <c r="A454" s="20" t="n"/>
      <c r="B454" s="20" t="n"/>
      <c r="C454" s="20" t="n"/>
      <c r="D454" s="16" t="n"/>
      <c r="E454" s="16" t="n"/>
      <c r="F454" s="21" t="n"/>
      <c r="G454" s="21" t="n"/>
      <c r="H454" s="15">
        <f>IF(F454="","",F454-N(G454))</f>
        <v/>
      </c>
      <c r="I454">
        <f>IF(OR(F454="",E454=""),"",MAX(0,Parametros!$B$1-E454))</f>
        <v/>
      </c>
      <c r="J454">
        <f>IF(OR(H454="",I454=""),"",IF(H454&lt;=0,"Pagada",IF(I454=0,"No vencida",IF(I454&lt;=30,"1-30",IF(I454&lt;=60,"31-60",IF(I454&lt;=90,"61-90",IF(I454&lt;=180,"91-180",IF(I454&lt;=360,"181-360","Más de 360"))))))))</f>
        <v/>
      </c>
      <c r="K454" s="14">
        <f>IF(OR(J454="",J454="Pagada"),"",VLOOKUP(J454,Parametros!$A$4:$B$10,2,FALSE))</f>
        <v/>
      </c>
      <c r="L454" s="15">
        <f>IF(K454="","",H454*K454)</f>
        <v/>
      </c>
    </row>
    <row r="455">
      <c r="A455" s="20" t="n"/>
      <c r="B455" s="20" t="n"/>
      <c r="C455" s="20" t="n"/>
      <c r="D455" s="16" t="n"/>
      <c r="E455" s="16" t="n"/>
      <c r="F455" s="21" t="n"/>
      <c r="G455" s="21" t="n"/>
      <c r="H455" s="15">
        <f>IF(F455="","",F455-N(G455))</f>
        <v/>
      </c>
      <c r="I455">
        <f>IF(OR(F455="",E455=""),"",MAX(0,Parametros!$B$1-E455))</f>
        <v/>
      </c>
      <c r="J455">
        <f>IF(OR(H455="",I455=""),"",IF(H455&lt;=0,"Pagada",IF(I455=0,"No vencida",IF(I455&lt;=30,"1-30",IF(I455&lt;=60,"31-60",IF(I455&lt;=90,"61-90",IF(I455&lt;=180,"91-180",IF(I455&lt;=360,"181-360","Más de 360"))))))))</f>
        <v/>
      </c>
      <c r="K455" s="14">
        <f>IF(OR(J455="",J455="Pagada"),"",VLOOKUP(J455,Parametros!$A$4:$B$10,2,FALSE))</f>
        <v/>
      </c>
      <c r="L455" s="15">
        <f>IF(K455="","",H455*K455)</f>
        <v/>
      </c>
    </row>
    <row r="456">
      <c r="A456" s="20" t="n"/>
      <c r="B456" s="20" t="n"/>
      <c r="C456" s="20" t="n"/>
      <c r="D456" s="16" t="n"/>
      <c r="E456" s="16" t="n"/>
      <c r="F456" s="21" t="n"/>
      <c r="G456" s="21" t="n"/>
      <c r="H456" s="15">
        <f>IF(F456="","",F456-N(G456))</f>
        <v/>
      </c>
      <c r="I456">
        <f>IF(OR(F456="",E456=""),"",MAX(0,Parametros!$B$1-E456))</f>
        <v/>
      </c>
      <c r="J456">
        <f>IF(OR(H456="",I456=""),"",IF(H456&lt;=0,"Pagada",IF(I456=0,"No vencida",IF(I456&lt;=30,"1-30",IF(I456&lt;=60,"31-60",IF(I456&lt;=90,"61-90",IF(I456&lt;=180,"91-180",IF(I456&lt;=360,"181-360","Más de 360"))))))))</f>
        <v/>
      </c>
      <c r="K456" s="14">
        <f>IF(OR(J456="",J456="Pagada"),"",VLOOKUP(J456,Parametros!$A$4:$B$10,2,FALSE))</f>
        <v/>
      </c>
      <c r="L456" s="15">
        <f>IF(K456="","",H456*K456)</f>
        <v/>
      </c>
    </row>
    <row r="457">
      <c r="A457" s="20" t="n"/>
      <c r="B457" s="20" t="n"/>
      <c r="C457" s="20" t="n"/>
      <c r="D457" s="16" t="n"/>
      <c r="E457" s="16" t="n"/>
      <c r="F457" s="21" t="n"/>
      <c r="G457" s="21" t="n"/>
      <c r="H457" s="15">
        <f>IF(F457="","",F457-N(G457))</f>
        <v/>
      </c>
      <c r="I457">
        <f>IF(OR(F457="",E457=""),"",MAX(0,Parametros!$B$1-E457))</f>
        <v/>
      </c>
      <c r="J457">
        <f>IF(OR(H457="",I457=""),"",IF(H457&lt;=0,"Pagada",IF(I457=0,"No vencida",IF(I457&lt;=30,"1-30",IF(I457&lt;=60,"31-60",IF(I457&lt;=90,"61-90",IF(I457&lt;=180,"91-180",IF(I457&lt;=360,"181-360","Más de 360"))))))))</f>
        <v/>
      </c>
      <c r="K457" s="14">
        <f>IF(OR(J457="",J457="Pagada"),"",VLOOKUP(J457,Parametros!$A$4:$B$10,2,FALSE))</f>
        <v/>
      </c>
      <c r="L457" s="15">
        <f>IF(K457="","",H457*K457)</f>
        <v/>
      </c>
    </row>
    <row r="458">
      <c r="A458" s="20" t="n"/>
      <c r="B458" s="20" t="n"/>
      <c r="C458" s="20" t="n"/>
      <c r="D458" s="16" t="n"/>
      <c r="E458" s="16" t="n"/>
      <c r="F458" s="21" t="n"/>
      <c r="G458" s="21" t="n"/>
      <c r="H458" s="15">
        <f>IF(F458="","",F458-N(G458))</f>
        <v/>
      </c>
      <c r="I458">
        <f>IF(OR(F458="",E458=""),"",MAX(0,Parametros!$B$1-E458))</f>
        <v/>
      </c>
      <c r="J458">
        <f>IF(OR(H458="",I458=""),"",IF(H458&lt;=0,"Pagada",IF(I458=0,"No vencida",IF(I458&lt;=30,"1-30",IF(I458&lt;=60,"31-60",IF(I458&lt;=90,"61-90",IF(I458&lt;=180,"91-180",IF(I458&lt;=360,"181-360","Más de 360"))))))))</f>
        <v/>
      </c>
      <c r="K458" s="14">
        <f>IF(OR(J458="",J458="Pagada"),"",VLOOKUP(J458,Parametros!$A$4:$B$10,2,FALSE))</f>
        <v/>
      </c>
      <c r="L458" s="15">
        <f>IF(K458="","",H458*K458)</f>
        <v/>
      </c>
    </row>
    <row r="459">
      <c r="A459" s="20" t="n"/>
      <c r="B459" s="20" t="n"/>
      <c r="C459" s="20" t="n"/>
      <c r="D459" s="16" t="n"/>
      <c r="E459" s="16" t="n"/>
      <c r="F459" s="21" t="n"/>
      <c r="G459" s="21" t="n"/>
      <c r="H459" s="15">
        <f>IF(F459="","",F459-N(G459))</f>
        <v/>
      </c>
      <c r="I459">
        <f>IF(OR(F459="",E459=""),"",MAX(0,Parametros!$B$1-E459))</f>
        <v/>
      </c>
      <c r="J459">
        <f>IF(OR(H459="",I459=""),"",IF(H459&lt;=0,"Pagada",IF(I459=0,"No vencida",IF(I459&lt;=30,"1-30",IF(I459&lt;=60,"31-60",IF(I459&lt;=90,"61-90",IF(I459&lt;=180,"91-180",IF(I459&lt;=360,"181-360","Más de 360"))))))))</f>
        <v/>
      </c>
      <c r="K459" s="14">
        <f>IF(OR(J459="",J459="Pagada"),"",VLOOKUP(J459,Parametros!$A$4:$B$10,2,FALSE))</f>
        <v/>
      </c>
      <c r="L459" s="15">
        <f>IF(K459="","",H459*K459)</f>
        <v/>
      </c>
    </row>
    <row r="460">
      <c r="A460" s="20" t="n"/>
      <c r="B460" s="20" t="n"/>
      <c r="C460" s="20" t="n"/>
      <c r="D460" s="16" t="n"/>
      <c r="E460" s="16" t="n"/>
      <c r="F460" s="21" t="n"/>
      <c r="G460" s="21" t="n"/>
      <c r="H460" s="15">
        <f>IF(F460="","",F460-N(G460))</f>
        <v/>
      </c>
      <c r="I460">
        <f>IF(OR(F460="",E460=""),"",MAX(0,Parametros!$B$1-E460))</f>
        <v/>
      </c>
      <c r="J460">
        <f>IF(OR(H460="",I460=""),"",IF(H460&lt;=0,"Pagada",IF(I460=0,"No vencida",IF(I460&lt;=30,"1-30",IF(I460&lt;=60,"31-60",IF(I460&lt;=90,"61-90",IF(I460&lt;=180,"91-180",IF(I460&lt;=360,"181-360","Más de 360"))))))))</f>
        <v/>
      </c>
      <c r="K460" s="14">
        <f>IF(OR(J460="",J460="Pagada"),"",VLOOKUP(J460,Parametros!$A$4:$B$10,2,FALSE))</f>
        <v/>
      </c>
      <c r="L460" s="15">
        <f>IF(K460="","",H460*K460)</f>
        <v/>
      </c>
    </row>
    <row r="461">
      <c r="A461" s="20" t="n"/>
      <c r="B461" s="20" t="n"/>
      <c r="C461" s="20" t="n"/>
      <c r="D461" s="16" t="n"/>
      <c r="E461" s="16" t="n"/>
      <c r="F461" s="21" t="n"/>
      <c r="G461" s="21" t="n"/>
      <c r="H461" s="15">
        <f>IF(F461="","",F461-N(G461))</f>
        <v/>
      </c>
      <c r="I461">
        <f>IF(OR(F461="",E461=""),"",MAX(0,Parametros!$B$1-E461))</f>
        <v/>
      </c>
      <c r="J461">
        <f>IF(OR(H461="",I461=""),"",IF(H461&lt;=0,"Pagada",IF(I461=0,"No vencida",IF(I461&lt;=30,"1-30",IF(I461&lt;=60,"31-60",IF(I461&lt;=90,"61-90",IF(I461&lt;=180,"91-180",IF(I461&lt;=360,"181-360","Más de 360"))))))))</f>
        <v/>
      </c>
      <c r="K461" s="14">
        <f>IF(OR(J461="",J461="Pagada"),"",VLOOKUP(J461,Parametros!$A$4:$B$10,2,FALSE))</f>
        <v/>
      </c>
      <c r="L461" s="15">
        <f>IF(K461="","",H461*K461)</f>
        <v/>
      </c>
    </row>
    <row r="462">
      <c r="A462" s="20" t="n"/>
      <c r="B462" s="20" t="n"/>
      <c r="C462" s="20" t="n"/>
      <c r="D462" s="16" t="n"/>
      <c r="E462" s="16" t="n"/>
      <c r="F462" s="21" t="n"/>
      <c r="G462" s="21" t="n"/>
      <c r="H462" s="15">
        <f>IF(F462="","",F462-N(G462))</f>
        <v/>
      </c>
      <c r="I462">
        <f>IF(OR(F462="",E462=""),"",MAX(0,Parametros!$B$1-E462))</f>
        <v/>
      </c>
      <c r="J462">
        <f>IF(OR(H462="",I462=""),"",IF(H462&lt;=0,"Pagada",IF(I462=0,"No vencida",IF(I462&lt;=30,"1-30",IF(I462&lt;=60,"31-60",IF(I462&lt;=90,"61-90",IF(I462&lt;=180,"91-180",IF(I462&lt;=360,"181-360","Más de 360"))))))))</f>
        <v/>
      </c>
      <c r="K462" s="14">
        <f>IF(OR(J462="",J462="Pagada"),"",VLOOKUP(J462,Parametros!$A$4:$B$10,2,FALSE))</f>
        <v/>
      </c>
      <c r="L462" s="15">
        <f>IF(K462="","",H462*K462)</f>
        <v/>
      </c>
    </row>
    <row r="463">
      <c r="A463" s="20" t="n"/>
      <c r="B463" s="20" t="n"/>
      <c r="C463" s="20" t="n"/>
      <c r="D463" s="16" t="n"/>
      <c r="E463" s="16" t="n"/>
      <c r="F463" s="21" t="n"/>
      <c r="G463" s="21" t="n"/>
      <c r="H463" s="15">
        <f>IF(F463="","",F463-N(G463))</f>
        <v/>
      </c>
      <c r="I463">
        <f>IF(OR(F463="",E463=""),"",MAX(0,Parametros!$B$1-E463))</f>
        <v/>
      </c>
      <c r="J463">
        <f>IF(OR(H463="",I463=""),"",IF(H463&lt;=0,"Pagada",IF(I463=0,"No vencida",IF(I463&lt;=30,"1-30",IF(I463&lt;=60,"31-60",IF(I463&lt;=90,"61-90",IF(I463&lt;=180,"91-180",IF(I463&lt;=360,"181-360","Más de 360"))))))))</f>
        <v/>
      </c>
      <c r="K463" s="14">
        <f>IF(OR(J463="",J463="Pagada"),"",VLOOKUP(J463,Parametros!$A$4:$B$10,2,FALSE))</f>
        <v/>
      </c>
      <c r="L463" s="15">
        <f>IF(K463="","",H463*K463)</f>
        <v/>
      </c>
    </row>
    <row r="464">
      <c r="A464" s="20" t="n"/>
      <c r="B464" s="20" t="n"/>
      <c r="C464" s="20" t="n"/>
      <c r="D464" s="16" t="n"/>
      <c r="E464" s="16" t="n"/>
      <c r="F464" s="21" t="n"/>
      <c r="G464" s="21" t="n"/>
      <c r="H464" s="15">
        <f>IF(F464="","",F464-N(G464))</f>
        <v/>
      </c>
      <c r="I464">
        <f>IF(OR(F464="",E464=""),"",MAX(0,Parametros!$B$1-E464))</f>
        <v/>
      </c>
      <c r="J464">
        <f>IF(OR(H464="",I464=""),"",IF(H464&lt;=0,"Pagada",IF(I464=0,"No vencida",IF(I464&lt;=30,"1-30",IF(I464&lt;=60,"31-60",IF(I464&lt;=90,"61-90",IF(I464&lt;=180,"91-180",IF(I464&lt;=360,"181-360","Más de 360"))))))))</f>
        <v/>
      </c>
      <c r="K464" s="14">
        <f>IF(OR(J464="",J464="Pagada"),"",VLOOKUP(J464,Parametros!$A$4:$B$10,2,FALSE))</f>
        <v/>
      </c>
      <c r="L464" s="15">
        <f>IF(K464="","",H464*K464)</f>
        <v/>
      </c>
    </row>
    <row r="465">
      <c r="A465" s="20" t="n"/>
      <c r="B465" s="20" t="n"/>
      <c r="C465" s="20" t="n"/>
      <c r="D465" s="16" t="n"/>
      <c r="E465" s="16" t="n"/>
      <c r="F465" s="21" t="n"/>
      <c r="G465" s="21" t="n"/>
      <c r="H465" s="15">
        <f>IF(F465="","",F465-N(G465))</f>
        <v/>
      </c>
      <c r="I465">
        <f>IF(OR(F465="",E465=""),"",MAX(0,Parametros!$B$1-E465))</f>
        <v/>
      </c>
      <c r="J465">
        <f>IF(OR(H465="",I465=""),"",IF(H465&lt;=0,"Pagada",IF(I465=0,"No vencida",IF(I465&lt;=30,"1-30",IF(I465&lt;=60,"31-60",IF(I465&lt;=90,"61-90",IF(I465&lt;=180,"91-180",IF(I465&lt;=360,"181-360","Más de 360"))))))))</f>
        <v/>
      </c>
      <c r="K465" s="14">
        <f>IF(OR(J465="",J465="Pagada"),"",VLOOKUP(J465,Parametros!$A$4:$B$10,2,FALSE))</f>
        <v/>
      </c>
      <c r="L465" s="15">
        <f>IF(K465="","",H465*K465)</f>
        <v/>
      </c>
    </row>
    <row r="466">
      <c r="A466" s="20" t="n"/>
      <c r="B466" s="20" t="n"/>
      <c r="C466" s="20" t="n"/>
      <c r="D466" s="16" t="n"/>
      <c r="E466" s="16" t="n"/>
      <c r="F466" s="21" t="n"/>
      <c r="G466" s="21" t="n"/>
      <c r="H466" s="15">
        <f>IF(F466="","",F466-N(G466))</f>
        <v/>
      </c>
      <c r="I466">
        <f>IF(OR(F466="",E466=""),"",MAX(0,Parametros!$B$1-E466))</f>
        <v/>
      </c>
      <c r="J466">
        <f>IF(OR(H466="",I466=""),"",IF(H466&lt;=0,"Pagada",IF(I466=0,"No vencida",IF(I466&lt;=30,"1-30",IF(I466&lt;=60,"31-60",IF(I466&lt;=90,"61-90",IF(I466&lt;=180,"91-180",IF(I466&lt;=360,"181-360","Más de 360"))))))))</f>
        <v/>
      </c>
      <c r="K466" s="14">
        <f>IF(OR(J466="",J466="Pagada"),"",VLOOKUP(J466,Parametros!$A$4:$B$10,2,FALSE))</f>
        <v/>
      </c>
      <c r="L466" s="15">
        <f>IF(K466="","",H466*K466)</f>
        <v/>
      </c>
    </row>
    <row r="467">
      <c r="A467" s="20" t="n"/>
      <c r="B467" s="20" t="n"/>
      <c r="C467" s="20" t="n"/>
      <c r="D467" s="16" t="n"/>
      <c r="E467" s="16" t="n"/>
      <c r="F467" s="21" t="n"/>
      <c r="G467" s="21" t="n"/>
      <c r="H467" s="15">
        <f>IF(F467="","",F467-N(G467))</f>
        <v/>
      </c>
      <c r="I467">
        <f>IF(OR(F467="",E467=""),"",MAX(0,Parametros!$B$1-E467))</f>
        <v/>
      </c>
      <c r="J467">
        <f>IF(OR(H467="",I467=""),"",IF(H467&lt;=0,"Pagada",IF(I467=0,"No vencida",IF(I467&lt;=30,"1-30",IF(I467&lt;=60,"31-60",IF(I467&lt;=90,"61-90",IF(I467&lt;=180,"91-180",IF(I467&lt;=360,"181-360","Más de 360"))))))))</f>
        <v/>
      </c>
      <c r="K467" s="14">
        <f>IF(OR(J467="",J467="Pagada"),"",VLOOKUP(J467,Parametros!$A$4:$B$10,2,FALSE))</f>
        <v/>
      </c>
      <c r="L467" s="15">
        <f>IF(K467="","",H467*K467)</f>
        <v/>
      </c>
    </row>
    <row r="468">
      <c r="A468" s="20" t="n"/>
      <c r="B468" s="20" t="n"/>
      <c r="C468" s="20" t="n"/>
      <c r="D468" s="16" t="n"/>
      <c r="E468" s="16" t="n"/>
      <c r="F468" s="21" t="n"/>
      <c r="G468" s="21" t="n"/>
      <c r="H468" s="15">
        <f>IF(F468="","",F468-N(G468))</f>
        <v/>
      </c>
      <c r="I468">
        <f>IF(OR(F468="",E468=""),"",MAX(0,Parametros!$B$1-E468))</f>
        <v/>
      </c>
      <c r="J468">
        <f>IF(OR(H468="",I468=""),"",IF(H468&lt;=0,"Pagada",IF(I468=0,"No vencida",IF(I468&lt;=30,"1-30",IF(I468&lt;=60,"31-60",IF(I468&lt;=90,"61-90",IF(I468&lt;=180,"91-180",IF(I468&lt;=360,"181-360","Más de 360"))))))))</f>
        <v/>
      </c>
      <c r="K468" s="14">
        <f>IF(OR(J468="",J468="Pagada"),"",VLOOKUP(J468,Parametros!$A$4:$B$10,2,FALSE))</f>
        <v/>
      </c>
      <c r="L468" s="15">
        <f>IF(K468="","",H468*K468)</f>
        <v/>
      </c>
    </row>
    <row r="469">
      <c r="A469" s="20" t="n"/>
      <c r="B469" s="20" t="n"/>
      <c r="C469" s="20" t="n"/>
      <c r="D469" s="16" t="n"/>
      <c r="E469" s="16" t="n"/>
      <c r="F469" s="21" t="n"/>
      <c r="G469" s="21" t="n"/>
      <c r="H469" s="15">
        <f>IF(F469="","",F469-N(G469))</f>
        <v/>
      </c>
      <c r="I469">
        <f>IF(OR(F469="",E469=""),"",MAX(0,Parametros!$B$1-E469))</f>
        <v/>
      </c>
      <c r="J469">
        <f>IF(OR(H469="",I469=""),"",IF(H469&lt;=0,"Pagada",IF(I469=0,"No vencida",IF(I469&lt;=30,"1-30",IF(I469&lt;=60,"31-60",IF(I469&lt;=90,"61-90",IF(I469&lt;=180,"91-180",IF(I469&lt;=360,"181-360","Más de 360"))))))))</f>
        <v/>
      </c>
      <c r="K469" s="14">
        <f>IF(OR(J469="",J469="Pagada"),"",VLOOKUP(J469,Parametros!$A$4:$B$10,2,FALSE))</f>
        <v/>
      </c>
      <c r="L469" s="15">
        <f>IF(K469="","",H469*K469)</f>
        <v/>
      </c>
    </row>
    <row r="470">
      <c r="A470" s="20" t="n"/>
      <c r="B470" s="20" t="n"/>
      <c r="C470" s="20" t="n"/>
      <c r="D470" s="16" t="n"/>
      <c r="E470" s="16" t="n"/>
      <c r="F470" s="21" t="n"/>
      <c r="G470" s="21" t="n"/>
      <c r="H470" s="15">
        <f>IF(F470="","",F470-N(G470))</f>
        <v/>
      </c>
      <c r="I470">
        <f>IF(OR(F470="",E470=""),"",MAX(0,Parametros!$B$1-E470))</f>
        <v/>
      </c>
      <c r="J470">
        <f>IF(OR(H470="",I470=""),"",IF(H470&lt;=0,"Pagada",IF(I470=0,"No vencida",IF(I470&lt;=30,"1-30",IF(I470&lt;=60,"31-60",IF(I470&lt;=90,"61-90",IF(I470&lt;=180,"91-180",IF(I470&lt;=360,"181-360","Más de 360"))))))))</f>
        <v/>
      </c>
      <c r="K470" s="14">
        <f>IF(OR(J470="",J470="Pagada"),"",VLOOKUP(J470,Parametros!$A$4:$B$10,2,FALSE))</f>
        <v/>
      </c>
      <c r="L470" s="15">
        <f>IF(K470="","",H470*K470)</f>
        <v/>
      </c>
    </row>
    <row r="471">
      <c r="A471" s="20" t="n"/>
      <c r="B471" s="20" t="n"/>
      <c r="C471" s="20" t="n"/>
      <c r="D471" s="16" t="n"/>
      <c r="E471" s="16" t="n"/>
      <c r="F471" s="21" t="n"/>
      <c r="G471" s="21" t="n"/>
      <c r="H471" s="15">
        <f>IF(F471="","",F471-N(G471))</f>
        <v/>
      </c>
      <c r="I471">
        <f>IF(OR(F471="",E471=""),"",MAX(0,Parametros!$B$1-E471))</f>
        <v/>
      </c>
      <c r="J471">
        <f>IF(OR(H471="",I471=""),"",IF(H471&lt;=0,"Pagada",IF(I471=0,"No vencida",IF(I471&lt;=30,"1-30",IF(I471&lt;=60,"31-60",IF(I471&lt;=90,"61-90",IF(I471&lt;=180,"91-180",IF(I471&lt;=360,"181-360","Más de 360"))))))))</f>
        <v/>
      </c>
      <c r="K471" s="14">
        <f>IF(OR(J471="",J471="Pagada"),"",VLOOKUP(J471,Parametros!$A$4:$B$10,2,FALSE))</f>
        <v/>
      </c>
      <c r="L471" s="15">
        <f>IF(K471="","",H471*K471)</f>
        <v/>
      </c>
    </row>
    <row r="472">
      <c r="A472" s="20" t="n"/>
      <c r="B472" s="20" t="n"/>
      <c r="C472" s="20" t="n"/>
      <c r="D472" s="16" t="n"/>
      <c r="E472" s="16" t="n"/>
      <c r="F472" s="21" t="n"/>
      <c r="G472" s="21" t="n"/>
      <c r="H472" s="15">
        <f>IF(F472="","",F472-N(G472))</f>
        <v/>
      </c>
      <c r="I472">
        <f>IF(OR(F472="",E472=""),"",MAX(0,Parametros!$B$1-E472))</f>
        <v/>
      </c>
      <c r="J472">
        <f>IF(OR(H472="",I472=""),"",IF(H472&lt;=0,"Pagada",IF(I472=0,"No vencida",IF(I472&lt;=30,"1-30",IF(I472&lt;=60,"31-60",IF(I472&lt;=90,"61-90",IF(I472&lt;=180,"91-180",IF(I472&lt;=360,"181-360","Más de 360"))))))))</f>
        <v/>
      </c>
      <c r="K472" s="14">
        <f>IF(OR(J472="",J472="Pagada"),"",VLOOKUP(J472,Parametros!$A$4:$B$10,2,FALSE))</f>
        <v/>
      </c>
      <c r="L472" s="15">
        <f>IF(K472="","",H472*K472)</f>
        <v/>
      </c>
    </row>
    <row r="473">
      <c r="A473" s="20" t="n"/>
      <c r="B473" s="20" t="n"/>
      <c r="C473" s="20" t="n"/>
      <c r="D473" s="16" t="n"/>
      <c r="E473" s="16" t="n"/>
      <c r="F473" s="21" t="n"/>
      <c r="G473" s="21" t="n"/>
      <c r="H473" s="15">
        <f>IF(F473="","",F473-N(G473))</f>
        <v/>
      </c>
      <c r="I473">
        <f>IF(OR(F473="",E473=""),"",MAX(0,Parametros!$B$1-E473))</f>
        <v/>
      </c>
      <c r="J473">
        <f>IF(OR(H473="",I473=""),"",IF(H473&lt;=0,"Pagada",IF(I473=0,"No vencida",IF(I473&lt;=30,"1-30",IF(I473&lt;=60,"31-60",IF(I473&lt;=90,"61-90",IF(I473&lt;=180,"91-180",IF(I473&lt;=360,"181-360","Más de 360"))))))))</f>
        <v/>
      </c>
      <c r="K473" s="14">
        <f>IF(OR(J473="",J473="Pagada"),"",VLOOKUP(J473,Parametros!$A$4:$B$10,2,FALSE))</f>
        <v/>
      </c>
      <c r="L473" s="15">
        <f>IF(K473="","",H473*K473)</f>
        <v/>
      </c>
    </row>
    <row r="474">
      <c r="A474" s="20" t="n"/>
      <c r="B474" s="20" t="n"/>
      <c r="C474" s="20" t="n"/>
      <c r="D474" s="16" t="n"/>
      <c r="E474" s="16" t="n"/>
      <c r="F474" s="21" t="n"/>
      <c r="G474" s="21" t="n"/>
      <c r="H474" s="15">
        <f>IF(F474="","",F474-N(G474))</f>
        <v/>
      </c>
      <c r="I474">
        <f>IF(OR(F474="",E474=""),"",MAX(0,Parametros!$B$1-E474))</f>
        <v/>
      </c>
      <c r="J474">
        <f>IF(OR(H474="",I474=""),"",IF(H474&lt;=0,"Pagada",IF(I474=0,"No vencida",IF(I474&lt;=30,"1-30",IF(I474&lt;=60,"31-60",IF(I474&lt;=90,"61-90",IF(I474&lt;=180,"91-180",IF(I474&lt;=360,"181-360","Más de 360"))))))))</f>
        <v/>
      </c>
      <c r="K474" s="14">
        <f>IF(OR(J474="",J474="Pagada"),"",VLOOKUP(J474,Parametros!$A$4:$B$10,2,FALSE))</f>
        <v/>
      </c>
      <c r="L474" s="15">
        <f>IF(K474="","",H474*K474)</f>
        <v/>
      </c>
    </row>
    <row r="475">
      <c r="A475" s="20" t="n"/>
      <c r="B475" s="20" t="n"/>
      <c r="C475" s="20" t="n"/>
      <c r="D475" s="16" t="n"/>
      <c r="E475" s="16" t="n"/>
      <c r="F475" s="21" t="n"/>
      <c r="G475" s="21" t="n"/>
      <c r="H475" s="15">
        <f>IF(F475="","",F475-N(G475))</f>
        <v/>
      </c>
      <c r="I475">
        <f>IF(OR(F475="",E475=""),"",MAX(0,Parametros!$B$1-E475))</f>
        <v/>
      </c>
      <c r="J475">
        <f>IF(OR(H475="",I475=""),"",IF(H475&lt;=0,"Pagada",IF(I475=0,"No vencida",IF(I475&lt;=30,"1-30",IF(I475&lt;=60,"31-60",IF(I475&lt;=90,"61-90",IF(I475&lt;=180,"91-180",IF(I475&lt;=360,"181-360","Más de 360"))))))))</f>
        <v/>
      </c>
      <c r="K475" s="14">
        <f>IF(OR(J475="",J475="Pagada"),"",VLOOKUP(J475,Parametros!$A$4:$B$10,2,FALSE))</f>
        <v/>
      </c>
      <c r="L475" s="15">
        <f>IF(K475="","",H475*K475)</f>
        <v/>
      </c>
    </row>
    <row r="476">
      <c r="A476" s="20" t="n"/>
      <c r="B476" s="20" t="n"/>
      <c r="C476" s="20" t="n"/>
      <c r="D476" s="16" t="n"/>
      <c r="E476" s="16" t="n"/>
      <c r="F476" s="21" t="n"/>
      <c r="G476" s="21" t="n"/>
      <c r="H476" s="15">
        <f>IF(F476="","",F476-N(G476))</f>
        <v/>
      </c>
      <c r="I476">
        <f>IF(OR(F476="",E476=""),"",MAX(0,Parametros!$B$1-E476))</f>
        <v/>
      </c>
      <c r="J476">
        <f>IF(OR(H476="",I476=""),"",IF(H476&lt;=0,"Pagada",IF(I476=0,"No vencida",IF(I476&lt;=30,"1-30",IF(I476&lt;=60,"31-60",IF(I476&lt;=90,"61-90",IF(I476&lt;=180,"91-180",IF(I476&lt;=360,"181-360","Más de 360"))))))))</f>
        <v/>
      </c>
      <c r="K476" s="14">
        <f>IF(OR(J476="",J476="Pagada"),"",VLOOKUP(J476,Parametros!$A$4:$B$10,2,FALSE))</f>
        <v/>
      </c>
      <c r="L476" s="15">
        <f>IF(K476="","",H476*K476)</f>
        <v/>
      </c>
    </row>
    <row r="477">
      <c r="A477" s="20" t="n"/>
      <c r="B477" s="20" t="n"/>
      <c r="C477" s="20" t="n"/>
      <c r="D477" s="16" t="n"/>
      <c r="E477" s="16" t="n"/>
      <c r="F477" s="21" t="n"/>
      <c r="G477" s="21" t="n"/>
      <c r="H477" s="15">
        <f>IF(F477="","",F477-N(G477))</f>
        <v/>
      </c>
      <c r="I477">
        <f>IF(OR(F477="",E477=""),"",MAX(0,Parametros!$B$1-E477))</f>
        <v/>
      </c>
      <c r="J477">
        <f>IF(OR(H477="",I477=""),"",IF(H477&lt;=0,"Pagada",IF(I477=0,"No vencida",IF(I477&lt;=30,"1-30",IF(I477&lt;=60,"31-60",IF(I477&lt;=90,"61-90",IF(I477&lt;=180,"91-180",IF(I477&lt;=360,"181-360","Más de 360"))))))))</f>
        <v/>
      </c>
      <c r="K477" s="14">
        <f>IF(OR(J477="",J477="Pagada"),"",VLOOKUP(J477,Parametros!$A$4:$B$10,2,FALSE))</f>
        <v/>
      </c>
      <c r="L477" s="15">
        <f>IF(K477="","",H477*K477)</f>
        <v/>
      </c>
    </row>
    <row r="478">
      <c r="A478" s="20" t="n"/>
      <c r="B478" s="20" t="n"/>
      <c r="C478" s="20" t="n"/>
      <c r="D478" s="16" t="n"/>
      <c r="E478" s="16" t="n"/>
      <c r="F478" s="21" t="n"/>
      <c r="G478" s="21" t="n"/>
      <c r="H478" s="15">
        <f>IF(F478="","",F478-N(G478))</f>
        <v/>
      </c>
      <c r="I478">
        <f>IF(OR(F478="",E478=""),"",MAX(0,Parametros!$B$1-E478))</f>
        <v/>
      </c>
      <c r="J478">
        <f>IF(OR(H478="",I478=""),"",IF(H478&lt;=0,"Pagada",IF(I478=0,"No vencida",IF(I478&lt;=30,"1-30",IF(I478&lt;=60,"31-60",IF(I478&lt;=90,"61-90",IF(I478&lt;=180,"91-180",IF(I478&lt;=360,"181-360","Más de 360"))))))))</f>
        <v/>
      </c>
      <c r="K478" s="14">
        <f>IF(OR(J478="",J478="Pagada"),"",VLOOKUP(J478,Parametros!$A$4:$B$10,2,FALSE))</f>
        <v/>
      </c>
      <c r="L478" s="15">
        <f>IF(K478="","",H478*K478)</f>
        <v/>
      </c>
    </row>
    <row r="479">
      <c r="A479" s="20" t="n"/>
      <c r="B479" s="20" t="n"/>
      <c r="C479" s="20" t="n"/>
      <c r="D479" s="16" t="n"/>
      <c r="E479" s="16" t="n"/>
      <c r="F479" s="21" t="n"/>
      <c r="G479" s="21" t="n"/>
      <c r="H479" s="15">
        <f>IF(F479="","",F479-N(G479))</f>
        <v/>
      </c>
      <c r="I479">
        <f>IF(OR(F479="",E479=""),"",MAX(0,Parametros!$B$1-E479))</f>
        <v/>
      </c>
      <c r="J479">
        <f>IF(OR(H479="",I479=""),"",IF(H479&lt;=0,"Pagada",IF(I479=0,"No vencida",IF(I479&lt;=30,"1-30",IF(I479&lt;=60,"31-60",IF(I479&lt;=90,"61-90",IF(I479&lt;=180,"91-180",IF(I479&lt;=360,"181-360","Más de 360"))))))))</f>
        <v/>
      </c>
      <c r="K479" s="14">
        <f>IF(OR(J479="",J479="Pagada"),"",VLOOKUP(J479,Parametros!$A$4:$B$10,2,FALSE))</f>
        <v/>
      </c>
      <c r="L479" s="15">
        <f>IF(K479="","",H479*K479)</f>
        <v/>
      </c>
    </row>
    <row r="480">
      <c r="A480" s="20" t="n"/>
      <c r="B480" s="20" t="n"/>
      <c r="C480" s="20" t="n"/>
      <c r="D480" s="16" t="n"/>
      <c r="E480" s="16" t="n"/>
      <c r="F480" s="21" t="n"/>
      <c r="G480" s="21" t="n"/>
      <c r="H480" s="15">
        <f>IF(F480="","",F480-N(G480))</f>
        <v/>
      </c>
      <c r="I480">
        <f>IF(OR(F480="",E480=""),"",MAX(0,Parametros!$B$1-E480))</f>
        <v/>
      </c>
      <c r="J480">
        <f>IF(OR(H480="",I480=""),"",IF(H480&lt;=0,"Pagada",IF(I480=0,"No vencida",IF(I480&lt;=30,"1-30",IF(I480&lt;=60,"31-60",IF(I480&lt;=90,"61-90",IF(I480&lt;=180,"91-180",IF(I480&lt;=360,"181-360","Más de 360"))))))))</f>
        <v/>
      </c>
      <c r="K480" s="14">
        <f>IF(OR(J480="",J480="Pagada"),"",VLOOKUP(J480,Parametros!$A$4:$B$10,2,FALSE))</f>
        <v/>
      </c>
      <c r="L480" s="15">
        <f>IF(K480="","",H480*K480)</f>
        <v/>
      </c>
    </row>
    <row r="481">
      <c r="A481" s="20" t="n"/>
      <c r="B481" s="20" t="n"/>
      <c r="C481" s="20" t="n"/>
      <c r="D481" s="16" t="n"/>
      <c r="E481" s="16" t="n"/>
      <c r="F481" s="21" t="n"/>
      <c r="G481" s="21" t="n"/>
      <c r="H481" s="15">
        <f>IF(F481="","",F481-N(G481))</f>
        <v/>
      </c>
      <c r="I481">
        <f>IF(OR(F481="",E481=""),"",MAX(0,Parametros!$B$1-E481))</f>
        <v/>
      </c>
      <c r="J481">
        <f>IF(OR(H481="",I481=""),"",IF(H481&lt;=0,"Pagada",IF(I481=0,"No vencida",IF(I481&lt;=30,"1-30",IF(I481&lt;=60,"31-60",IF(I481&lt;=90,"61-90",IF(I481&lt;=180,"91-180",IF(I481&lt;=360,"181-360","Más de 360"))))))))</f>
        <v/>
      </c>
      <c r="K481" s="14">
        <f>IF(OR(J481="",J481="Pagada"),"",VLOOKUP(J481,Parametros!$A$4:$B$10,2,FALSE))</f>
        <v/>
      </c>
      <c r="L481" s="15">
        <f>IF(K481="","",H481*K481)</f>
        <v/>
      </c>
    </row>
    <row r="482">
      <c r="A482" s="20" t="n"/>
      <c r="B482" s="20" t="n"/>
      <c r="C482" s="20" t="n"/>
      <c r="D482" s="16" t="n"/>
      <c r="E482" s="16" t="n"/>
      <c r="F482" s="21" t="n"/>
      <c r="G482" s="21" t="n"/>
      <c r="H482" s="15">
        <f>IF(F482="","",F482-N(G482))</f>
        <v/>
      </c>
      <c r="I482">
        <f>IF(OR(F482="",E482=""),"",MAX(0,Parametros!$B$1-E482))</f>
        <v/>
      </c>
      <c r="J482">
        <f>IF(OR(H482="",I482=""),"",IF(H482&lt;=0,"Pagada",IF(I482=0,"No vencida",IF(I482&lt;=30,"1-30",IF(I482&lt;=60,"31-60",IF(I482&lt;=90,"61-90",IF(I482&lt;=180,"91-180",IF(I482&lt;=360,"181-360","Más de 360"))))))))</f>
        <v/>
      </c>
      <c r="K482" s="14">
        <f>IF(OR(J482="",J482="Pagada"),"",VLOOKUP(J482,Parametros!$A$4:$B$10,2,FALSE))</f>
        <v/>
      </c>
      <c r="L482" s="15">
        <f>IF(K482="","",H482*K482)</f>
        <v/>
      </c>
    </row>
    <row r="483">
      <c r="A483" s="20" t="n"/>
      <c r="B483" s="20" t="n"/>
      <c r="C483" s="20" t="n"/>
      <c r="D483" s="16" t="n"/>
      <c r="E483" s="16" t="n"/>
      <c r="F483" s="21" t="n"/>
      <c r="G483" s="21" t="n"/>
      <c r="H483" s="15">
        <f>IF(F483="","",F483-N(G483))</f>
        <v/>
      </c>
      <c r="I483">
        <f>IF(OR(F483="",E483=""),"",MAX(0,Parametros!$B$1-E483))</f>
        <v/>
      </c>
      <c r="J483">
        <f>IF(OR(H483="",I483=""),"",IF(H483&lt;=0,"Pagada",IF(I483=0,"No vencida",IF(I483&lt;=30,"1-30",IF(I483&lt;=60,"31-60",IF(I483&lt;=90,"61-90",IF(I483&lt;=180,"91-180",IF(I483&lt;=360,"181-360","Más de 360"))))))))</f>
        <v/>
      </c>
      <c r="K483" s="14">
        <f>IF(OR(J483="",J483="Pagada"),"",VLOOKUP(J483,Parametros!$A$4:$B$10,2,FALSE))</f>
        <v/>
      </c>
      <c r="L483" s="15">
        <f>IF(K483="","",H483*K483)</f>
        <v/>
      </c>
    </row>
    <row r="484">
      <c r="A484" s="20" t="n"/>
      <c r="B484" s="20" t="n"/>
      <c r="C484" s="20" t="n"/>
      <c r="D484" s="16" t="n"/>
      <c r="E484" s="16" t="n"/>
      <c r="F484" s="21" t="n"/>
      <c r="G484" s="21" t="n"/>
      <c r="H484" s="15">
        <f>IF(F484="","",F484-N(G484))</f>
        <v/>
      </c>
      <c r="I484">
        <f>IF(OR(F484="",E484=""),"",MAX(0,Parametros!$B$1-E484))</f>
        <v/>
      </c>
      <c r="J484">
        <f>IF(OR(H484="",I484=""),"",IF(H484&lt;=0,"Pagada",IF(I484=0,"No vencida",IF(I484&lt;=30,"1-30",IF(I484&lt;=60,"31-60",IF(I484&lt;=90,"61-90",IF(I484&lt;=180,"91-180",IF(I484&lt;=360,"181-360","Más de 360"))))))))</f>
        <v/>
      </c>
      <c r="K484" s="14">
        <f>IF(OR(J484="",J484="Pagada"),"",VLOOKUP(J484,Parametros!$A$4:$B$10,2,FALSE))</f>
        <v/>
      </c>
      <c r="L484" s="15">
        <f>IF(K484="","",H484*K484)</f>
        <v/>
      </c>
    </row>
    <row r="485">
      <c r="A485" s="20" t="n"/>
      <c r="B485" s="20" t="n"/>
      <c r="C485" s="20" t="n"/>
      <c r="D485" s="16" t="n"/>
      <c r="E485" s="16" t="n"/>
      <c r="F485" s="21" t="n"/>
      <c r="G485" s="21" t="n"/>
      <c r="H485" s="15">
        <f>IF(F485="","",F485-N(G485))</f>
        <v/>
      </c>
      <c r="I485">
        <f>IF(OR(F485="",E485=""),"",MAX(0,Parametros!$B$1-E485))</f>
        <v/>
      </c>
      <c r="J485">
        <f>IF(OR(H485="",I485=""),"",IF(H485&lt;=0,"Pagada",IF(I485=0,"No vencida",IF(I485&lt;=30,"1-30",IF(I485&lt;=60,"31-60",IF(I485&lt;=90,"61-90",IF(I485&lt;=180,"91-180",IF(I485&lt;=360,"181-360","Más de 360"))))))))</f>
        <v/>
      </c>
      <c r="K485" s="14">
        <f>IF(OR(J485="",J485="Pagada"),"",VLOOKUP(J485,Parametros!$A$4:$B$10,2,FALSE))</f>
        <v/>
      </c>
      <c r="L485" s="15">
        <f>IF(K485="","",H485*K485)</f>
        <v/>
      </c>
    </row>
    <row r="486">
      <c r="A486" s="20" t="n"/>
      <c r="B486" s="20" t="n"/>
      <c r="C486" s="20" t="n"/>
      <c r="D486" s="16" t="n"/>
      <c r="E486" s="16" t="n"/>
      <c r="F486" s="21" t="n"/>
      <c r="G486" s="21" t="n"/>
      <c r="H486" s="15">
        <f>IF(F486="","",F486-N(G486))</f>
        <v/>
      </c>
      <c r="I486">
        <f>IF(OR(F486="",E486=""),"",MAX(0,Parametros!$B$1-E486))</f>
        <v/>
      </c>
      <c r="J486">
        <f>IF(OR(H486="",I486=""),"",IF(H486&lt;=0,"Pagada",IF(I486=0,"No vencida",IF(I486&lt;=30,"1-30",IF(I486&lt;=60,"31-60",IF(I486&lt;=90,"61-90",IF(I486&lt;=180,"91-180",IF(I486&lt;=360,"181-360","Más de 360"))))))))</f>
        <v/>
      </c>
      <c r="K486" s="14">
        <f>IF(OR(J486="",J486="Pagada"),"",VLOOKUP(J486,Parametros!$A$4:$B$10,2,FALSE))</f>
        <v/>
      </c>
      <c r="L486" s="15">
        <f>IF(K486="","",H486*K486)</f>
        <v/>
      </c>
    </row>
    <row r="487">
      <c r="A487" s="20" t="n"/>
      <c r="B487" s="20" t="n"/>
      <c r="C487" s="20" t="n"/>
      <c r="D487" s="16" t="n"/>
      <c r="E487" s="16" t="n"/>
      <c r="F487" s="21" t="n"/>
      <c r="G487" s="21" t="n"/>
      <c r="H487" s="15">
        <f>IF(F487="","",F487-N(G487))</f>
        <v/>
      </c>
      <c r="I487">
        <f>IF(OR(F487="",E487=""),"",MAX(0,Parametros!$B$1-E487))</f>
        <v/>
      </c>
      <c r="J487">
        <f>IF(OR(H487="",I487=""),"",IF(H487&lt;=0,"Pagada",IF(I487=0,"No vencida",IF(I487&lt;=30,"1-30",IF(I487&lt;=60,"31-60",IF(I487&lt;=90,"61-90",IF(I487&lt;=180,"91-180",IF(I487&lt;=360,"181-360","Más de 360"))))))))</f>
        <v/>
      </c>
      <c r="K487" s="14">
        <f>IF(OR(J487="",J487="Pagada"),"",VLOOKUP(J487,Parametros!$A$4:$B$10,2,FALSE))</f>
        <v/>
      </c>
      <c r="L487" s="15">
        <f>IF(K487="","",H487*K487)</f>
        <v/>
      </c>
    </row>
    <row r="488">
      <c r="A488" s="20" t="n"/>
      <c r="B488" s="20" t="n"/>
      <c r="C488" s="20" t="n"/>
      <c r="D488" s="16" t="n"/>
      <c r="E488" s="16" t="n"/>
      <c r="F488" s="21" t="n"/>
      <c r="G488" s="21" t="n"/>
      <c r="H488" s="15">
        <f>IF(F488="","",F488-N(G488))</f>
        <v/>
      </c>
      <c r="I488">
        <f>IF(OR(F488="",E488=""),"",MAX(0,Parametros!$B$1-E488))</f>
        <v/>
      </c>
      <c r="J488">
        <f>IF(OR(H488="",I488=""),"",IF(H488&lt;=0,"Pagada",IF(I488=0,"No vencida",IF(I488&lt;=30,"1-30",IF(I488&lt;=60,"31-60",IF(I488&lt;=90,"61-90",IF(I488&lt;=180,"91-180",IF(I488&lt;=360,"181-360","Más de 360"))))))))</f>
        <v/>
      </c>
      <c r="K488" s="14">
        <f>IF(OR(J488="",J488="Pagada"),"",VLOOKUP(J488,Parametros!$A$4:$B$10,2,FALSE))</f>
        <v/>
      </c>
      <c r="L488" s="15">
        <f>IF(K488="","",H488*K488)</f>
        <v/>
      </c>
    </row>
    <row r="489">
      <c r="A489" s="20" t="n"/>
      <c r="B489" s="20" t="n"/>
      <c r="C489" s="20" t="n"/>
      <c r="D489" s="16" t="n"/>
      <c r="E489" s="16" t="n"/>
      <c r="F489" s="21" t="n"/>
      <c r="G489" s="21" t="n"/>
      <c r="H489" s="15">
        <f>IF(F489="","",F489-N(G489))</f>
        <v/>
      </c>
      <c r="I489">
        <f>IF(OR(F489="",E489=""),"",MAX(0,Parametros!$B$1-E489))</f>
        <v/>
      </c>
      <c r="J489">
        <f>IF(OR(H489="",I489=""),"",IF(H489&lt;=0,"Pagada",IF(I489=0,"No vencida",IF(I489&lt;=30,"1-30",IF(I489&lt;=60,"31-60",IF(I489&lt;=90,"61-90",IF(I489&lt;=180,"91-180",IF(I489&lt;=360,"181-360","Más de 360"))))))))</f>
        <v/>
      </c>
      <c r="K489" s="14">
        <f>IF(OR(J489="",J489="Pagada"),"",VLOOKUP(J489,Parametros!$A$4:$B$10,2,FALSE))</f>
        <v/>
      </c>
      <c r="L489" s="15">
        <f>IF(K489="","",H489*K489)</f>
        <v/>
      </c>
    </row>
    <row r="490">
      <c r="A490" s="20" t="n"/>
      <c r="B490" s="20" t="n"/>
      <c r="C490" s="20" t="n"/>
      <c r="D490" s="16" t="n"/>
      <c r="E490" s="16" t="n"/>
      <c r="F490" s="21" t="n"/>
      <c r="G490" s="21" t="n"/>
      <c r="H490" s="15">
        <f>IF(F490="","",F490-N(G490))</f>
        <v/>
      </c>
      <c r="I490">
        <f>IF(OR(F490="",E490=""),"",MAX(0,Parametros!$B$1-E490))</f>
        <v/>
      </c>
      <c r="J490">
        <f>IF(OR(H490="",I490=""),"",IF(H490&lt;=0,"Pagada",IF(I490=0,"No vencida",IF(I490&lt;=30,"1-30",IF(I490&lt;=60,"31-60",IF(I490&lt;=90,"61-90",IF(I490&lt;=180,"91-180",IF(I490&lt;=360,"181-360","Más de 360"))))))))</f>
        <v/>
      </c>
      <c r="K490" s="14">
        <f>IF(OR(J490="",J490="Pagada"),"",VLOOKUP(J490,Parametros!$A$4:$B$10,2,FALSE))</f>
        <v/>
      </c>
      <c r="L490" s="15">
        <f>IF(K490="","",H490*K490)</f>
        <v/>
      </c>
    </row>
    <row r="491">
      <c r="A491" s="20" t="n"/>
      <c r="B491" s="20" t="n"/>
      <c r="C491" s="20" t="n"/>
      <c r="D491" s="16" t="n"/>
      <c r="E491" s="16" t="n"/>
      <c r="F491" s="21" t="n"/>
      <c r="G491" s="21" t="n"/>
      <c r="H491" s="15">
        <f>IF(F491="","",F491-N(G491))</f>
        <v/>
      </c>
      <c r="I491">
        <f>IF(OR(F491="",E491=""),"",MAX(0,Parametros!$B$1-E491))</f>
        <v/>
      </c>
      <c r="J491">
        <f>IF(OR(H491="",I491=""),"",IF(H491&lt;=0,"Pagada",IF(I491=0,"No vencida",IF(I491&lt;=30,"1-30",IF(I491&lt;=60,"31-60",IF(I491&lt;=90,"61-90",IF(I491&lt;=180,"91-180",IF(I491&lt;=360,"181-360","Más de 360"))))))))</f>
        <v/>
      </c>
      <c r="K491" s="14">
        <f>IF(OR(J491="",J491="Pagada"),"",VLOOKUP(J491,Parametros!$A$4:$B$10,2,FALSE))</f>
        <v/>
      </c>
      <c r="L491" s="15">
        <f>IF(K491="","",H491*K491)</f>
        <v/>
      </c>
    </row>
    <row r="492">
      <c r="A492" s="20" t="n"/>
      <c r="B492" s="20" t="n"/>
      <c r="C492" s="20" t="n"/>
      <c r="D492" s="16" t="n"/>
      <c r="E492" s="16" t="n"/>
      <c r="F492" s="21" t="n"/>
      <c r="G492" s="21" t="n"/>
      <c r="H492" s="15">
        <f>IF(F492="","",F492-N(G492))</f>
        <v/>
      </c>
      <c r="I492">
        <f>IF(OR(F492="",E492=""),"",MAX(0,Parametros!$B$1-E492))</f>
        <v/>
      </c>
      <c r="J492">
        <f>IF(OR(H492="",I492=""),"",IF(H492&lt;=0,"Pagada",IF(I492=0,"No vencida",IF(I492&lt;=30,"1-30",IF(I492&lt;=60,"31-60",IF(I492&lt;=90,"61-90",IF(I492&lt;=180,"91-180",IF(I492&lt;=360,"181-360","Más de 360"))))))))</f>
        <v/>
      </c>
      <c r="K492" s="14">
        <f>IF(OR(J492="",J492="Pagada"),"",VLOOKUP(J492,Parametros!$A$4:$B$10,2,FALSE))</f>
        <v/>
      </c>
      <c r="L492" s="15">
        <f>IF(K492="","",H492*K492)</f>
        <v/>
      </c>
    </row>
    <row r="493">
      <c r="A493" s="20" t="n"/>
      <c r="B493" s="20" t="n"/>
      <c r="C493" s="20" t="n"/>
      <c r="D493" s="16" t="n"/>
      <c r="E493" s="16" t="n"/>
      <c r="F493" s="21" t="n"/>
      <c r="G493" s="21" t="n"/>
      <c r="H493" s="15">
        <f>IF(F493="","",F493-N(G493))</f>
        <v/>
      </c>
      <c r="I493">
        <f>IF(OR(F493="",E493=""),"",MAX(0,Parametros!$B$1-E493))</f>
        <v/>
      </c>
      <c r="J493">
        <f>IF(OR(H493="",I493=""),"",IF(H493&lt;=0,"Pagada",IF(I493=0,"No vencida",IF(I493&lt;=30,"1-30",IF(I493&lt;=60,"31-60",IF(I493&lt;=90,"61-90",IF(I493&lt;=180,"91-180",IF(I493&lt;=360,"181-360","Más de 360"))))))))</f>
        <v/>
      </c>
      <c r="K493" s="14">
        <f>IF(OR(J493="",J493="Pagada"),"",VLOOKUP(J493,Parametros!$A$4:$B$10,2,FALSE))</f>
        <v/>
      </c>
      <c r="L493" s="15">
        <f>IF(K493="","",H493*K493)</f>
        <v/>
      </c>
    </row>
    <row r="494">
      <c r="A494" s="20" t="n"/>
      <c r="B494" s="20" t="n"/>
      <c r="C494" s="20" t="n"/>
      <c r="D494" s="16" t="n"/>
      <c r="E494" s="16" t="n"/>
      <c r="F494" s="21" t="n"/>
      <c r="G494" s="21" t="n"/>
      <c r="H494" s="15">
        <f>IF(F494="","",F494-N(G494))</f>
        <v/>
      </c>
      <c r="I494">
        <f>IF(OR(F494="",E494=""),"",MAX(0,Parametros!$B$1-E494))</f>
        <v/>
      </c>
      <c r="J494">
        <f>IF(OR(H494="",I494=""),"",IF(H494&lt;=0,"Pagada",IF(I494=0,"No vencida",IF(I494&lt;=30,"1-30",IF(I494&lt;=60,"31-60",IF(I494&lt;=90,"61-90",IF(I494&lt;=180,"91-180",IF(I494&lt;=360,"181-360","Más de 360"))))))))</f>
        <v/>
      </c>
      <c r="K494" s="14">
        <f>IF(OR(J494="",J494="Pagada"),"",VLOOKUP(J494,Parametros!$A$4:$B$10,2,FALSE))</f>
        <v/>
      </c>
      <c r="L494" s="15">
        <f>IF(K494="","",H494*K494)</f>
        <v/>
      </c>
    </row>
    <row r="495">
      <c r="A495" s="20" t="n"/>
      <c r="B495" s="20" t="n"/>
      <c r="C495" s="20" t="n"/>
      <c r="D495" s="16" t="n"/>
      <c r="E495" s="16" t="n"/>
      <c r="F495" s="21" t="n"/>
      <c r="G495" s="21" t="n"/>
      <c r="H495" s="15">
        <f>IF(F495="","",F495-N(G495))</f>
        <v/>
      </c>
      <c r="I495">
        <f>IF(OR(F495="",E495=""),"",MAX(0,Parametros!$B$1-E495))</f>
        <v/>
      </c>
      <c r="J495">
        <f>IF(OR(H495="",I495=""),"",IF(H495&lt;=0,"Pagada",IF(I495=0,"No vencida",IF(I495&lt;=30,"1-30",IF(I495&lt;=60,"31-60",IF(I495&lt;=90,"61-90",IF(I495&lt;=180,"91-180",IF(I495&lt;=360,"181-360","Más de 360"))))))))</f>
        <v/>
      </c>
      <c r="K495" s="14">
        <f>IF(OR(J495="",J495="Pagada"),"",VLOOKUP(J495,Parametros!$A$4:$B$10,2,FALSE))</f>
        <v/>
      </c>
      <c r="L495" s="15">
        <f>IF(K495="","",H495*K495)</f>
        <v/>
      </c>
    </row>
    <row r="496">
      <c r="A496" s="20" t="n"/>
      <c r="B496" s="20" t="n"/>
      <c r="C496" s="20" t="n"/>
      <c r="D496" s="16" t="n"/>
      <c r="E496" s="16" t="n"/>
      <c r="F496" s="21" t="n"/>
      <c r="G496" s="21" t="n"/>
      <c r="H496" s="15">
        <f>IF(F496="","",F496-N(G496))</f>
        <v/>
      </c>
      <c r="I496">
        <f>IF(OR(F496="",E496=""),"",MAX(0,Parametros!$B$1-E496))</f>
        <v/>
      </c>
      <c r="J496">
        <f>IF(OR(H496="",I496=""),"",IF(H496&lt;=0,"Pagada",IF(I496=0,"No vencida",IF(I496&lt;=30,"1-30",IF(I496&lt;=60,"31-60",IF(I496&lt;=90,"61-90",IF(I496&lt;=180,"91-180",IF(I496&lt;=360,"181-360","Más de 360"))))))))</f>
        <v/>
      </c>
      <c r="K496" s="14">
        <f>IF(OR(J496="",J496="Pagada"),"",VLOOKUP(J496,Parametros!$A$4:$B$10,2,FALSE))</f>
        <v/>
      </c>
      <c r="L496" s="15">
        <f>IF(K496="","",H496*K496)</f>
        <v/>
      </c>
    </row>
    <row r="497">
      <c r="A497" s="20" t="n"/>
      <c r="B497" s="20" t="n"/>
      <c r="C497" s="20" t="n"/>
      <c r="D497" s="16" t="n"/>
      <c r="E497" s="16" t="n"/>
      <c r="F497" s="21" t="n"/>
      <c r="G497" s="21" t="n"/>
      <c r="H497" s="15">
        <f>IF(F497="","",F497-N(G497))</f>
        <v/>
      </c>
      <c r="I497">
        <f>IF(OR(F497="",E497=""),"",MAX(0,Parametros!$B$1-E497))</f>
        <v/>
      </c>
      <c r="J497">
        <f>IF(OR(H497="",I497=""),"",IF(H497&lt;=0,"Pagada",IF(I497=0,"No vencida",IF(I497&lt;=30,"1-30",IF(I497&lt;=60,"31-60",IF(I497&lt;=90,"61-90",IF(I497&lt;=180,"91-180",IF(I497&lt;=360,"181-360","Más de 360"))))))))</f>
        <v/>
      </c>
      <c r="K497" s="14">
        <f>IF(OR(J497="",J497="Pagada"),"",VLOOKUP(J497,Parametros!$A$4:$B$10,2,FALSE))</f>
        <v/>
      </c>
      <c r="L497" s="15">
        <f>IF(K497="","",H497*K497)</f>
        <v/>
      </c>
    </row>
    <row r="498">
      <c r="A498" s="20" t="n"/>
      <c r="B498" s="20" t="n"/>
      <c r="C498" s="20" t="n"/>
      <c r="D498" s="16" t="n"/>
      <c r="E498" s="16" t="n"/>
      <c r="F498" s="21" t="n"/>
      <c r="G498" s="21" t="n"/>
      <c r="H498" s="15">
        <f>IF(F498="","",F498-N(G498))</f>
        <v/>
      </c>
      <c r="I498">
        <f>IF(OR(F498="",E498=""),"",MAX(0,Parametros!$B$1-E498))</f>
        <v/>
      </c>
      <c r="J498">
        <f>IF(OR(H498="",I498=""),"",IF(H498&lt;=0,"Pagada",IF(I498=0,"No vencida",IF(I498&lt;=30,"1-30",IF(I498&lt;=60,"31-60",IF(I498&lt;=90,"61-90",IF(I498&lt;=180,"91-180",IF(I498&lt;=360,"181-360","Más de 360"))))))))</f>
        <v/>
      </c>
      <c r="K498" s="14">
        <f>IF(OR(J498="",J498="Pagada"),"",VLOOKUP(J498,Parametros!$A$4:$B$10,2,FALSE))</f>
        <v/>
      </c>
      <c r="L498" s="15">
        <f>IF(K498="","",H498*K498)</f>
        <v/>
      </c>
    </row>
    <row r="499">
      <c r="A499" s="20" t="n"/>
      <c r="B499" s="20" t="n"/>
      <c r="C499" s="20" t="n"/>
      <c r="D499" s="16" t="n"/>
      <c r="E499" s="16" t="n"/>
      <c r="F499" s="21" t="n"/>
      <c r="G499" s="21" t="n"/>
      <c r="H499" s="15">
        <f>IF(F499="","",F499-N(G499))</f>
        <v/>
      </c>
      <c r="I499">
        <f>IF(OR(F499="",E499=""),"",MAX(0,Parametros!$B$1-E499))</f>
        <v/>
      </c>
      <c r="J499">
        <f>IF(OR(H499="",I499=""),"",IF(H499&lt;=0,"Pagada",IF(I499=0,"No vencida",IF(I499&lt;=30,"1-30",IF(I499&lt;=60,"31-60",IF(I499&lt;=90,"61-90",IF(I499&lt;=180,"91-180",IF(I499&lt;=360,"181-360","Más de 360"))))))))</f>
        <v/>
      </c>
      <c r="K499" s="14">
        <f>IF(OR(J499="",J499="Pagada"),"",VLOOKUP(J499,Parametros!$A$4:$B$10,2,FALSE))</f>
        <v/>
      </c>
      <c r="L499" s="15">
        <f>IF(K499="","",H499*K499)</f>
        <v/>
      </c>
    </row>
    <row r="500">
      <c r="A500" s="20" t="n"/>
      <c r="B500" s="20" t="n"/>
      <c r="C500" s="20" t="n"/>
      <c r="D500" s="16" t="n"/>
      <c r="E500" s="16" t="n"/>
      <c r="F500" s="21" t="n"/>
      <c r="G500" s="21" t="n"/>
      <c r="H500" s="15">
        <f>IF(F500="","",F500-N(G500))</f>
        <v/>
      </c>
      <c r="I500">
        <f>IF(OR(F500="",E500=""),"",MAX(0,Parametros!$B$1-E500))</f>
        <v/>
      </c>
      <c r="J500">
        <f>IF(OR(H500="",I500=""),"",IF(H500&lt;=0,"Pagada",IF(I500=0,"No vencida",IF(I500&lt;=30,"1-30",IF(I500&lt;=60,"31-60",IF(I500&lt;=90,"61-90",IF(I500&lt;=180,"91-180",IF(I500&lt;=360,"181-360","Más de 360"))))))))</f>
        <v/>
      </c>
      <c r="K500" s="14">
        <f>IF(OR(J500="",J500="Pagada"),"",VLOOKUP(J500,Parametros!$A$4:$B$10,2,FALSE))</f>
        <v/>
      </c>
      <c r="L500" s="15">
        <f>IF(K500="","",H500*K500)</f>
        <v/>
      </c>
    </row>
    <row r="501">
      <c r="A501" s="20" t="n"/>
      <c r="B501" s="20" t="n"/>
      <c r="C501" s="20" t="n"/>
      <c r="D501" s="16" t="n"/>
      <c r="E501" s="16" t="n"/>
      <c r="F501" s="21" t="n"/>
      <c r="G501" s="21" t="n"/>
      <c r="H501" s="15">
        <f>IF(F501="","",F501-N(G501))</f>
        <v/>
      </c>
      <c r="I501">
        <f>IF(OR(F501="",E501=""),"",MAX(0,Parametros!$B$1-E501))</f>
        <v/>
      </c>
      <c r="J501">
        <f>IF(OR(H501="",I501=""),"",IF(H501&lt;=0,"Pagada",IF(I501=0,"No vencida",IF(I501&lt;=30,"1-30",IF(I501&lt;=60,"31-60",IF(I501&lt;=90,"61-90",IF(I501&lt;=180,"91-180",IF(I501&lt;=360,"181-360","Más de 360"))))))))</f>
        <v/>
      </c>
      <c r="K501" s="14">
        <f>IF(OR(J501="",J501="Pagada"),"",VLOOKUP(J501,Parametros!$A$4:$B$10,2,FALSE))</f>
        <v/>
      </c>
      <c r="L501" s="15">
        <f>IF(K501="","",H501*K501)</f>
        <v/>
      </c>
    </row>
  </sheetData>
  <autoFilter ref="A1:L501"/>
  <dataValidations count="1">
    <dataValidation sqref="D2:E501" showDropDown="0" showInputMessage="0" showErrorMessage="1" allowBlank="0" error="Ingresa una fecha válida" type="date" operator="greaterThan">
      <formula1>DATE(2000,1,1)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2026-10-15T23:50:37Z</dcterms:created>
  <dcterms:modified xsi:type="dcterms:W3CDTF">2026-10-15T23:50:37Z</dcterms:modified>
</cp:coreProperties>
</file>